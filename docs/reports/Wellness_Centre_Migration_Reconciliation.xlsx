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Summary" sheetId="1" state="visible" r:id="rId3"/>
    <sheet name="2. Revenue Detail" sheetId="2" state="visible" r:id="rId4"/>
    <sheet name="3. Expense Detail" sheetId="3" state="visible" r:id="rId5"/>
    <sheet name="4. Inventory" sheetId="4" state="visible" r:id="rId6"/>
    <sheet name="5. Poultry Farm" sheetId="5" state="visible" r:id="rId7"/>
    <sheet name="6. Compliance" sheetId="6" state="visible" r:id="rId8"/>
    <sheet name="7. Monthly P&amp;L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<sst xmlns="http://schemas.openxmlformats.org/spreadsheetml/2006/main" count="1424" uniqueCount="621">
  <si>
    <t xml:space="preserve">Wellness Centre — ERPNext Migration Reconciliation Report</t>
  </si>
  <si>
    <t xml:space="preserve">Prepared March 2026  |  Source: Legacy system CSV exports  |  Target: ERPNext v15</t>
  </si>
  <si>
    <t xml:space="preserve">Domain</t>
  </si>
  <si>
    <t xml:space="preserve">Check</t>
  </si>
  <si>
    <t xml:space="preserve">Source System</t>
  </si>
  <si>
    <t xml:space="preserve">ERPNext</t>
  </si>
  <si>
    <t xml:space="preserve">Variance</t>
  </si>
  <si>
    <t xml:space="preserve">Status</t>
  </si>
  <si>
    <t xml:space="preserve">Notes</t>
  </si>
  <si>
    <t xml:space="preserve">  Revenue</t>
  </si>
  <si>
    <t xml:space="preserve">Revenue</t>
  </si>
  <si>
    <t xml:space="preserve">eTIMS Sales Invoices — Count</t>
  </si>
  <si>
    <t xml:space="preserve">✓ Match</t>
  </si>
  <si>
    <t xml:space="preserve">eTIMS Sales Invoices — Total (KES)</t>
  </si>
  <si>
    <t xml:space="preserve">Room Booking Invoices — Count</t>
  </si>
  <si>
    <t xml:space="preserve">Room Booking Revenue (KES)</t>
  </si>
  <si>
    <t xml:space="preserve">Event Invoices — Count</t>
  </si>
  <si>
    <t xml:space="preserve">Event Venue Hire Revenue (KES)</t>
  </si>
  <si>
    <t xml:space="preserve">Egg Sale Invoices — Count</t>
  </si>
  <si>
    <t xml:space="preserve">Egg Sales Revenue (KES)</t>
  </si>
  <si>
    <t xml:space="preserve">Payment Entries — Total Received (KES)</t>
  </si>
  <si>
    <t xml:space="preserve">  Expenses</t>
  </si>
  <si>
    <t xml:space="preserve">Expenses</t>
  </si>
  <si>
    <t xml:space="preserve">Journal Entries — Count</t>
  </si>
  <si>
    <t xml:space="preserve">709 expense + 15 savings + 3 capital injections</t>
  </si>
  <si>
    <t xml:space="preserve">  Inventory</t>
  </si>
  <si>
    <t xml:space="preserve">Inventory</t>
  </si>
  <si>
    <t xml:space="preserve">Inventory Items — Count</t>
  </si>
  <si>
    <t xml:space="preserve">Stock Movements — Count</t>
  </si>
  <si>
    <t xml:space="preserve">⚠ Exception</t>
  </si>
  <si>
    <t xml:space="preserve">3 movements skipped: source issued more than purchased. Documented exception.</t>
  </si>
  <si>
    <t xml:space="preserve">  Compliance</t>
  </si>
  <si>
    <t xml:space="preserve">Compliance</t>
  </si>
  <si>
    <t xml:space="preserve">Compliance Documents — Count</t>
  </si>
  <si>
    <t xml:space="preserve">6 of 9 documents historically expired at migration date</t>
  </si>
  <si>
    <t xml:space="preserve">  Legend</t>
  </si>
  <si>
    <t xml:space="preserve">Source and ERPNext figures are identical</t>
  </si>
  <si>
    <t xml:space="preserve">Documented known variance — expected and explained</t>
  </si>
  <si>
    <t xml:space="preserve">✗ Variance</t>
  </si>
  <si>
    <t xml:space="preserve">Unexplained difference requiring investigation</t>
  </si>
  <si>
    <t xml:space="preserve">TOTAL REVENUE MIGRATED (KES)</t>
  </si>
  <si>
    <t xml:space="preserve">Revenue Detail — All Invoices</t>
  </si>
  <si>
    <t xml:space="preserve">eTIMS Invoices · Room Bookings · Event Hire · Egg Sales</t>
  </si>
  <si>
    <t xml:space="preserve">  eTIMS Sales Invoices — Monthly Summary (Source CSV)</t>
  </si>
  <si>
    <t xml:space="preserve">Month</t>
  </si>
  <si>
    <t xml:space="preserve">Invoices</t>
  </si>
  <si>
    <t xml:space="preserve">Subtotal (KES)</t>
  </si>
  <si>
    <t xml:space="preserve">Tax Amount (KES)</t>
  </si>
  <si>
    <t xml:space="preserve">Total (KES)</t>
  </si>
  <si>
    <t xml:space="preserve">Mar 2024</t>
  </si>
  <si>
    <t xml:space="preserve">ERPNext invoice count and total match source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</si>
  <si>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</si>
  <si>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</si>
  <si>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</si>
  <si>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</si>
  <si>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</si>
  <si>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</si>
  <si>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</si>
  <si>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</si>
  <si>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</si>
  <si>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Jan 2025</t>
  </si>
  <si>
    <t xml:space="preserve">Feb 2025</t>
  </si>
  <si>
    <t xml:space="preserve">TOTAL</t>
  </si>
  <si>
    <t xml:space="preserve">  Room Bookings — by Room</t>
  </si>
  <si>
    <t xml:space="preserve">Room</t>
  </si>
  <si>
    <t xml:space="preserve">Bookings</t>
  </si>
  <si>
    <t xml:space="preserve">Nights</t>
  </si>
  <si>
    <t xml:space="preserve">Avg Nightly (KES)</t>
  </si>
  <si>
    <t xml:space="preserve">Revenue (KES)</t>
  </si>
  <si>
    <t xml:space="preserve">Bedroom 2</t>
  </si>
  <si>
    <t xml:space="preserve">Master Bedroom</t>
  </si>
  <si>
    <t xml:space="preserve">Bedroom 4</t>
  </si>
  <si>
    <t xml:space="preserve">Bedroom 5</t>
  </si>
  <si>
    <t xml:space="preserve">Bedroom 3</t>
  </si>
  <si>
    <t xml:space="preserve">  Event Venue Hire — by Event Type</t>
  </si>
  <si>
    <t xml:space="preserve">Event Type</t>
  </si>
  <si>
    <t xml:space="preserve">Events</t>
  </si>
  <si>
    <t xml:space="preserve">Total Guests</t>
  </si>
  <si>
    <t xml:space="preserve">Avg Fee (KES)</t>
  </si>
  <si>
    <t xml:space="preserve">Hire Fee (KES)</t>
  </si>
  <si>
    <t xml:space="preserve">Wedding</t>
  </si>
  <si>
    <t xml:space="preserve">Garden Party</t>
  </si>
  <si>
    <t xml:space="preserve">Wellness Retreat</t>
  </si>
  <si>
    <t xml:space="preserve">Birthday Party</t>
  </si>
  <si>
    <t xml:space="preserve">Corporate Retreat</t>
  </si>
  <si>
    <t xml:space="preserve">Memorial Service</t>
  </si>
  <si>
    <t xml:space="preserve">Baby Shower</t>
  </si>
  <si>
    <t xml:space="preserve">Bridal Shower</t>
  </si>
  <si>
    <t xml:space="preserve">  Egg Sales — Monthly Summary</t>
  </si>
  <si>
    <t xml:space="preserve">Sales</t>
  </si>
  <si>
    <t xml:space="preserve">Trays Sold</t>
  </si>
  <si>
    <t xml:space="preserve">Avg Price/Tray</t>
  </si>
  <si>
    <t xml:space="preserve">Expense Detail — All Journal Entries</t>
  </si>
  <si>
    <t xml:space="preserve">Expenses · Capital Injections · Savings Transfers</t>
  </si>
  <si>
    <t xml:space="preserve">  Operating Expenses — by Category</t>
  </si>
  <si>
    <t xml:space="preserve">Category</t>
  </si>
  <si>
    <t xml:space="preserve">Transactions</t>
  </si>
  <si>
    <t xml:space="preserve">% of Total</t>
  </si>
  <si>
    <t xml:space="preserve">JEs in ERPNext</t>
  </si>
  <si>
    <t xml:space="preserve">Payment Methods</t>
  </si>
  <si>
    <t xml:space="preserve">Inventory Purchases</t>
  </si>
  <si>
    <t xml:space="preserve">Bank Transfer: KES 402,000 | Cash: KES 34,110 | M-Pesa: KES 373,140</t>
  </si>
  <si>
    <t xml:space="preserve">Permanent Staff Salaries</t>
  </si>
  <si>
    <t xml:space="preserve">Bank Transfer: KES 576,000</t>
  </si>
  <si>
    <t xml:space="preserve">Property Renovations</t>
  </si>
  <si>
    <t xml:space="preserve">Bank Transfer: KES 360,000 | Cash: KES 25,000 | M-Pesa: KES 80,000</t>
  </si>
  <si>
    <t xml:space="preserve">Animal Feed (Chicken)</t>
  </si>
  <si>
    <t xml:space="preserve">M-Pesa: KES 358,627</t>
  </si>
  <si>
    <t xml:space="preserve">Garden &amp; Landscaping Maintenance</t>
  </si>
  <si>
    <t xml:space="preserve">Cash: KES 102,500 | M-Pesa: KES 227,500</t>
  </si>
  <si>
    <t xml:space="preserve">Casual Labour — Security</t>
  </si>
  <si>
    <t xml:space="preserve">Cash: KES 129,000 | M-Pesa: KES 121,500</t>
  </si>
  <si>
    <t xml:space="preserve">Event Supplies &amp; Setup</t>
  </si>
  <si>
    <t xml:space="preserve">Cash: KES 100,819 | M-Pesa: KES 83,577</t>
  </si>
  <si>
    <t xml:space="preserve">Casual Labour — Cleaning &amp; Housekeeping</t>
  </si>
  <si>
    <t xml:space="preserve">Cash: KES 91,500 | M-Pesa: KES 87,000</t>
  </si>
  <si>
    <t xml:space="preserve">Estate Service Charge</t>
  </si>
  <si>
    <t xml:space="preserve">Bank Transfer: KES 168,000</t>
  </si>
  <si>
    <t xml:space="preserve">Supplies &amp; Provisions</t>
  </si>
  <si>
    <t xml:space="preserve">Cash: KES 48,500 | M-Pesa: KES 57,000</t>
  </si>
  <si>
    <t xml:space="preserve">Livestock Acquisition</t>
  </si>
  <si>
    <t xml:space="preserve">Bank Transfer: KES 100,000</t>
  </si>
  <si>
    <t xml:space="preserve">Agent Commissions</t>
  </si>
  <si>
    <t xml:space="preserve">M-Pesa: KES 99,500</t>
  </si>
  <si>
    <t xml:space="preserve">Consultant Fees</t>
  </si>
  <si>
    <t xml:space="preserve">M-Pesa: KES 99,000</t>
  </si>
  <si>
    <t xml:space="preserve">Utilities (Electricity)</t>
  </si>
  <si>
    <t xml:space="preserve">Bank Transfer: KES 15,000 | M-Pesa: KES 82,364</t>
  </si>
  <si>
    <t xml:space="preserve">Furniture &amp; Fittings</t>
  </si>
  <si>
    <t xml:space="preserve">Bank Transfer: KES 60,000 | M-Pesa: KES 30,000</t>
  </si>
  <si>
    <t xml:space="preserve">Casual Labour — Event Setup</t>
  </si>
  <si>
    <t xml:space="preserve">Cash: KES 36,000 | M-Pesa: KES 49,500</t>
  </si>
  <si>
    <t xml:space="preserve">Dog Care</t>
  </si>
  <si>
    <t xml:space="preserve">Cash: KES 12,000 | M-Pesa: KES 53,500</t>
  </si>
  <si>
    <t xml:space="preserve">Borehole Water</t>
  </si>
  <si>
    <t xml:space="preserve">Bank Transfer: KES 56,676</t>
  </si>
  <si>
    <t xml:space="preserve">Veterinary Care</t>
  </si>
  <si>
    <t xml:space="preserve">M-Pesa: KES 56,000</t>
  </si>
  <si>
    <t xml:space="preserve">Utilities (Water)</t>
  </si>
  <si>
    <t xml:space="preserve">Bank Transfer: KES 8,000 | M-Pesa: KES 47,164</t>
  </si>
  <si>
    <t xml:space="preserve">Casual Labour — Transport</t>
  </si>
  <si>
    <t xml:space="preserve">Cash: KES 31,000 | M-Pesa: KES 21,000</t>
  </si>
  <si>
    <t xml:space="preserve">Casual Labour — Maintenance &amp; Repairs</t>
  </si>
  <si>
    <t xml:space="preserve">Cash: KES 23,000 | M-Pesa: KES 20,000</t>
  </si>
  <si>
    <t xml:space="preserve">Business Registration &amp; Permits</t>
  </si>
  <si>
    <t xml:space="preserve">Bank Transfer: KES 15,000 | M-Pesa: KES 8,000</t>
  </si>
  <si>
    <t xml:space="preserve">Miscellaneous</t>
  </si>
  <si>
    <t xml:space="preserve">Cash: KES 3,300 | M-Pesa: KES 11,700</t>
  </si>
  <si>
    <t xml:space="preserve">TOTAL EXPENSES</t>
  </si>
  <si>
    <t xml:space="preserve">  Capital Injections &amp; Savings Transfers</t>
  </si>
  <si>
    <t xml:space="preserve">Date</t>
  </si>
  <si>
    <t xml:space="preserve">Type</t>
  </si>
  <si>
    <t xml:space="preserve">Description</t>
  </si>
  <si>
    <t xml:space="preserve">Amount (KES)</t>
  </si>
  <si>
    <t xml:space="preserve">Payment Method</t>
  </si>
  <si>
    <t xml:space="preserve">JE in ERPNext</t>
  </si>
  <si>
    <t xml:space="preserve">2024-01-15</t>
  </si>
  <si>
    <t xml:space="preserve">Capital Injection</t>
  </si>
  <si>
    <t xml:space="preserve">Owner capital injection — initial business setup fund</t>
  </si>
  <si>
    <t xml:space="preserve">Bank Transfer</t>
  </si>
  <si>
    <t xml:space="preserve">✓</t>
  </si>
  <si>
    <t xml:space="preserve">2024-01-22</t>
  </si>
  <si>
    <t xml:space="preserve">Owner capital injection — property prep and inventory</t>
  </si>
  <si>
    <t xml:space="preserve">2024-02-20</t>
  </si>
  <si>
    <t xml:space="preserve">Owner capital injection — renovation cost overrun</t>
  </si>
  <si>
    <t xml:space="preserve">2024-04-26</t>
  </si>
  <si>
    <t xml:space="preserve">Savings</t>
  </si>
  <si>
    <t xml:space="preserve">Savings — Generator Fund set-aside (2024-04)</t>
  </si>
  <si>
    <t xml:space="preserve">2024-05-28</t>
  </si>
  <si>
    <t xml:space="preserve">Savings — Generator Fund set-aside (2024-05)</t>
  </si>
  <si>
    <t xml:space="preserve">2024-06-27</t>
  </si>
  <si>
    <t xml:space="preserve">Savings — Large Events Tent Fund set-aside (2024-06)</t>
  </si>
  <si>
    <t xml:space="preserve">2024-07-25</t>
  </si>
  <si>
    <t xml:space="preserve">Savings — Large Events Tent Fund set-aside (2024-07)</t>
  </si>
  <si>
    <t xml:space="preserve">2024-07-27</t>
  </si>
  <si>
    <t xml:space="preserve">Savings — Generator Fund set-aside (2024-07)</t>
  </si>
  <si>
    <t xml:space="preserve">2024-08-26</t>
  </si>
  <si>
    <t xml:space="preserve">Savings — Large Events Tent Fund set-aside (2024-08)</t>
  </si>
  <si>
    <t xml:space="preserve">2024-08-27</t>
  </si>
  <si>
    <t xml:space="preserve">Savings — Generator Fund set-aside (2024-08)</t>
  </si>
  <si>
    <t xml:space="preserve">2024-09-25</t>
  </si>
  <si>
    <t xml:space="preserve">Savings — Generator Fund set-aside (2024-09)</t>
  </si>
  <si>
    <t xml:space="preserve">2024-09-27</t>
  </si>
  <si>
    <t xml:space="preserve">Savings — Large Events Tent Fund set-aside (2024-09)</t>
  </si>
  <si>
    <t xml:space="preserve">2024-10-25</t>
  </si>
  <si>
    <t xml:space="preserve">Savings — Large Events Tent Fund set-aside (2024-10)</t>
  </si>
  <si>
    <t xml:space="preserve">2024-11-25</t>
  </si>
  <si>
    <t xml:space="preserve">Savings — Large Events Tent Fund set-aside (2024-11)</t>
  </si>
  <si>
    <t xml:space="preserve">2024-11-26</t>
  </si>
  <si>
    <t xml:space="preserve">Savings — Generator Fund set-aside (2024-11)</t>
  </si>
  <si>
    <t xml:space="preserve">2024-12-25</t>
  </si>
  <si>
    <t xml:space="preserve">Savings — Large Events Tent Fund set-aside (2024-12)</t>
  </si>
  <si>
    <t xml:space="preserve">2024-12-28</t>
  </si>
  <si>
    <t xml:space="preserve">Savings — Generator Fund set-aside (2024-12)</t>
  </si>
  <si>
    <t xml:space="preserve">2025-01-28</t>
  </si>
  <si>
    <t xml:space="preserve">Savings — Large Events Tent Fund set-aside (2025-01)</t>
  </si>
  <si>
    <t xml:space="preserve">  Monthly Expense Trend</t>
  </si>
  <si>
    <t xml:space="preserve">Running Total (KES)</t>
  </si>
  <si>
    <t xml:space="preserve">Jan 2024</t>
  </si>
  <si>
    <t xml:space="preserve">Feb 2024</t>
  </si>
  <si>
    <t xml:space="preserve">Inventory — Items, Valuation &amp; Stock Movements</t>
  </si>
  <si>
    <t xml:space="preserve">77 items across 8 categories  |  190 of 193 movements migrated (3 documented exceptions)</t>
  </si>
  <si>
    <t xml:space="preserve">  Inventory by Category</t>
  </si>
  <si>
    <t xml:space="preserve">Items</t>
  </si>
  <si>
    <t xml:space="preserve">Total Qty</t>
  </si>
  <si>
    <t xml:space="preserve">Total Value (KES)</t>
  </si>
  <si>
    <t xml:space="preserve">Items in ERPNext</t>
  </si>
  <si>
    <t xml:space="preserve">Value in ERPNext</t>
  </si>
  <si>
    <t xml:space="preserve">Event Equipment</t>
  </si>
  <si>
    <t xml:space="preserve">Dining Cutlery</t>
  </si>
  <si>
    <t xml:space="preserve">Linens &amp; Fabrics</t>
  </si>
  <si>
    <t xml:space="preserve">Electrical Accessories</t>
  </si>
  <si>
    <t xml:space="preserve">Furniture</t>
  </si>
  <si>
    <t xml:space="preserve">Kitchen</t>
  </si>
  <si>
    <t xml:space="preserve">Garden Tools</t>
  </si>
  <si>
    <t xml:space="preserve">Cleaning Equipment</t>
  </si>
  <si>
    <t xml:space="preserve">  All Inventory Items — Line by Line</t>
  </si>
  <si>
    <t xml:space="preserve">Item Name</t>
  </si>
  <si>
    <t xml:space="preserve">Qty on Hand</t>
  </si>
  <si>
    <t xml:space="preserve">Unit Cost (KES)</t>
  </si>
  <si>
    <t xml:space="preserve">In ERPNext</t>
  </si>
  <si>
    <t xml:space="preserve">Brooms</t>
  </si>
  <si>
    <t xml:space="preserve">✓ Migrated</t>
  </si>
  <si>
    <t xml:space="preserve">Brooms (Outdoor)</t>
  </si>
  <si>
    <t xml:space="preserve">Buckets (20L)</t>
  </si>
  <si>
    <t xml:space="preserve">Dustpans</t>
  </si>
  <si>
    <t xml:space="preserve">Mops (Cotton)</t>
  </si>
  <si>
    <t xml:space="preserve">Rubber Gloves</t>
  </si>
  <si>
    <t xml:space="preserve">Spray Bottles</t>
  </si>
  <si>
    <t xml:space="preserve">Squeegee</t>
  </si>
  <si>
    <t xml:space="preserve">Cups &amp; Saucers</t>
  </si>
  <si>
    <t xml:space="preserve">Dinner Plates</t>
  </si>
  <si>
    <t xml:space="preserve">Drinking Glasses</t>
  </si>
  <si>
    <t xml:space="preserve">Salt &amp; Pepper Shakers</t>
  </si>
  <si>
    <t xml:space="preserve">Serving Dishes (Large)</t>
  </si>
  <si>
    <t xml:space="preserve">Serving Dishes (Medium)</t>
  </si>
  <si>
    <t xml:space="preserve">Serving Trays</t>
  </si>
  <si>
    <t xml:space="preserve">Side Plates</t>
  </si>
  <si>
    <t xml:space="preserve">Soup Bowls</t>
  </si>
  <si>
    <t xml:space="preserve">Stainless Steel Forks</t>
  </si>
  <si>
    <t xml:space="preserve">Stainless Steel Knives</t>
  </si>
  <si>
    <t xml:space="preserve">Stainless Steel Spoons</t>
  </si>
  <si>
    <t xml:space="preserve">Teaspoons</t>
  </si>
  <si>
    <t xml:space="preserve">Water Jugs</t>
  </si>
  <si>
    <t xml:space="preserve">Wine Glasses</t>
  </si>
  <si>
    <t xml:space="preserve">Bluetooth Speaker (Large)</t>
  </si>
  <si>
    <t xml:space="preserve">Bluetooth Speaker (Small)</t>
  </si>
  <si>
    <t xml:space="preserve">Extension Cords (10m)</t>
  </si>
  <si>
    <t xml:space="preserve">Extension Cords (5m)</t>
  </si>
  <si>
    <t xml:space="preserve">Fairy Lights (Curtain)</t>
  </si>
  <si>
    <t xml:space="preserve">Fairy Lights (String)</t>
  </si>
  <si>
    <t xml:space="preserve">LED Bulbs (Daylight)</t>
  </si>
  <si>
    <t xml:space="preserve">LED Bulbs (Warm White)</t>
  </si>
  <si>
    <t xml:space="preserve">Microphone (Wireless)</t>
  </si>
  <si>
    <t xml:space="preserve">Multi-plug Adapters</t>
  </si>
  <si>
    <t xml:space="preserve">Power Strips (Surge)</t>
  </si>
  <si>
    <t xml:space="preserve">Decorative Ribbons &amp; Bows</t>
  </si>
  <si>
    <t xml:space="preserve">Flower Vases (Glass)</t>
  </si>
  <si>
    <t xml:space="preserve">Plastic Chairs (White)</t>
  </si>
  <si>
    <t xml:space="preserve">Rectangular Tables (6-seater)</t>
  </si>
  <si>
    <t xml:space="preserve">Round Tables (8-seater)</t>
  </si>
  <si>
    <t xml:space="preserve">Table Covers (Rectangular)</t>
  </si>
  <si>
    <t xml:space="preserve">Table Covers (Round)</t>
  </si>
  <si>
    <t xml:space="preserve">Tent/Canopy (5x5m)</t>
  </si>
  <si>
    <t xml:space="preserve">Welcome Banner Stand</t>
  </si>
  <si>
    <t xml:space="preserve">Bookshelf/Display Stand</t>
  </si>
  <si>
    <t xml:space="preserve">Outdoor Coffee Tables</t>
  </si>
  <si>
    <t xml:space="preserve">Outdoor Lounge Chairs</t>
  </si>
  <si>
    <t xml:space="preserve">Side Tables</t>
  </si>
  <si>
    <t xml:space="preserve">Garden Hose (30m)</t>
  </si>
  <si>
    <t xml:space="preserve">Lawn Mower</t>
  </si>
  <si>
    <t xml:space="preserve">Machetes (Pangas)</t>
  </si>
  <si>
    <t xml:space="preserve">Pruning Shears</t>
  </si>
  <si>
    <t xml:space="preserve">Rakes</t>
  </si>
  <si>
    <t xml:space="preserve">Spade</t>
  </si>
  <si>
    <t xml:space="preserve">Watering Cans (10L)</t>
  </si>
  <si>
    <t xml:space="preserve">Wheelbarrow</t>
  </si>
  <si>
    <t xml:space="preserve">Blender</t>
  </si>
  <si>
    <t xml:space="preserve">Chopping Boards</t>
  </si>
  <si>
    <t xml:space="preserve">Cooking Pot (Large)</t>
  </si>
  <si>
    <t xml:space="preserve">Cooking Pot (Medium)</t>
  </si>
  <si>
    <t xml:space="preserve">Electric Kettle</t>
  </si>
  <si>
    <t xml:space="preserve">Frying Pan (Large)</t>
  </si>
  <si>
    <t xml:space="preserve">Frying Pan (Small)</t>
  </si>
  <si>
    <t xml:space="preserve">Kitchen Knives Set</t>
  </si>
  <si>
    <t xml:space="preserve">Microwave</t>
  </si>
  <si>
    <t xml:space="preserve">Serving Spoons (Large)</t>
  </si>
  <si>
    <t xml:space="preserve">Thermos Flask (Large)</t>
  </si>
  <si>
    <t xml:space="preserve">Water Dispenser</t>
  </si>
  <si>
    <t xml:space="preserve">Bath Towels (Large)</t>
  </si>
  <si>
    <t xml:space="preserve">Bedsheets (Double)</t>
  </si>
  <si>
    <t xml:space="preserve">Chair Sashes</t>
  </si>
  <si>
    <t xml:space="preserve">Chair Seat Covers (White)</t>
  </si>
  <si>
    <t xml:space="preserve">Cloth Napkins (Coloured)</t>
  </si>
  <si>
    <t xml:space="preserve">Cloth Napkins (White)</t>
  </si>
  <si>
    <t xml:space="preserve">Coloured Tablecloths</t>
  </si>
  <si>
    <t xml:space="preserve">Curtains (Main House)</t>
  </si>
  <si>
    <t xml:space="preserve">Kitchen Towels</t>
  </si>
  <si>
    <t xml:space="preserve">White Tablecloths</t>
  </si>
  <si>
    <t xml:space="preserve">  Stock Movements — by Type</t>
  </si>
  <si>
    <t xml:space="preserve">Movement Type</t>
  </si>
  <si>
    <t xml:space="preserve">Count (Source)</t>
  </si>
  <si>
    <t xml:space="preserve">Qty (Source)</t>
  </si>
  <si>
    <t xml:space="preserve">Count (ERPNext)</t>
  </si>
  <si>
    <t xml:space="preserve">Audit Adjustment</t>
  </si>
  <si>
    <t xml:space="preserve">Breakage</t>
  </si>
  <si>
    <t xml:space="preserve">2 movement(s) skipped: source data issued more than available stock.</t>
  </si>
  <si>
    <t xml:space="preserve">Disposal</t>
  </si>
  <si>
    <t xml:space="preserve">1 movement(s) skipped: source data issued more than available stock.</t>
  </si>
  <si>
    <t xml:space="preserve">Loss</t>
  </si>
  <si>
    <t xml:space="preserve">Purchase</t>
  </si>
  <si>
    <t xml:space="preserve">Poultry Farm — Egg Production &amp; Sales</t>
  </si>
  <si>
    <t xml:space="preserve">52 weeks of production data  |  103 sale transactions</t>
  </si>
  <si>
    <t xml:space="preserve">  Egg Production — Weekly Summary (Source Only — no ERPNext equivalent)</t>
  </si>
  <si>
    <t xml:space="preserve">Week Start</t>
  </si>
  <si>
    <t xml:space="preserve">Week End</t>
  </si>
  <si>
    <t xml:space="preserve">Collected</t>
  </si>
  <si>
    <t xml:space="preserve">Damaged</t>
  </si>
  <si>
    <t xml:space="preserve">Available</t>
  </si>
  <si>
    <t xml:space="preserve">Damage Rate</t>
  </si>
  <si>
    <t xml:space="preserve">2024-02-12</t>
  </si>
  <si>
    <t xml:space="preserve">2024-02-18</t>
  </si>
  <si>
    <t xml:space="preserve">2024-02-19</t>
  </si>
  <si>
    <t xml:space="preserve">2024-02-25</t>
  </si>
  <si>
    <t xml:space="preserve">2024-02-26</t>
  </si>
  <si>
    <t xml:space="preserve">2024-03-03</t>
  </si>
  <si>
    <t xml:space="preserve">2024-03-04</t>
  </si>
  <si>
    <t xml:space="preserve">2024-03-10</t>
  </si>
  <si>
    <t xml:space="preserve">Slight dip due to cold spell</t>
  </si>
  <si>
    <t xml:space="preserve">2024-03-11</t>
  </si>
  <si>
    <t xml:space="preserve">2024-03-17</t>
  </si>
  <si>
    <t xml:space="preserve">2024-03-18</t>
  </si>
  <si>
    <t xml:space="preserve">2024-03-24</t>
  </si>
  <si>
    <t xml:space="preserve">Good week — all hens healthy</t>
  </si>
  <si>
    <t xml:space="preserve">2024-03-25</t>
  </si>
  <si>
    <t xml:space="preserve">2024-03-31</t>
  </si>
  <si>
    <t xml:space="preserve">2024-04-01</t>
  </si>
  <si>
    <t xml:space="preserve">2024-04-07</t>
  </si>
  <si>
    <t xml:space="preserve">2024-04-08</t>
  </si>
  <si>
    <t xml:space="preserve">2024-04-14</t>
  </si>
  <si>
    <t xml:space="preserve">Vet visit this week — routine checkup</t>
  </si>
  <si>
    <t xml:space="preserve">2024-04-15</t>
  </si>
  <si>
    <t xml:space="preserve">2024-04-21</t>
  </si>
  <si>
    <t xml:space="preserve">2024-04-22</t>
  </si>
  <si>
    <t xml:space="preserve">2024-04-28</t>
  </si>
  <si>
    <t xml:space="preserve">2024-04-29</t>
  </si>
  <si>
    <t xml:space="preserve">2024-05-05</t>
  </si>
  <si>
    <t xml:space="preserve">2024-05-06</t>
  </si>
  <si>
    <t xml:space="preserve">2024-05-12</t>
  </si>
  <si>
    <t xml:space="preserve">Heavy rains affected collection schedule</t>
  </si>
  <si>
    <t xml:space="preserve">2024-05-13</t>
  </si>
  <si>
    <t xml:space="preserve">2024-05-19</t>
  </si>
  <si>
    <t xml:space="preserve">2024-05-20</t>
  </si>
  <si>
    <t xml:space="preserve">2024-05-26</t>
  </si>
  <si>
    <t xml:space="preserve">2024-05-27</t>
  </si>
  <si>
    <t xml:space="preserve">2024-06-02</t>
  </si>
  <si>
    <t xml:space="preserve">2 hens lost to illness</t>
  </si>
  <si>
    <t xml:space="preserve">2024-06-03</t>
  </si>
  <si>
    <t xml:space="preserve">2024-06-09</t>
  </si>
  <si>
    <t xml:space="preserve">2024-06-10</t>
  </si>
  <si>
    <t xml:space="preserve">2024-06-16</t>
  </si>
  <si>
    <t xml:space="preserve">2024-06-17</t>
  </si>
  <si>
    <t xml:space="preserve">2024-06-23</t>
  </si>
  <si>
    <t xml:space="preserve">2024-06-24</t>
  </si>
  <si>
    <t xml:space="preserve">2024-06-30</t>
  </si>
  <si>
    <t xml:space="preserve">Feed delivery delayed by 1 day</t>
  </si>
  <si>
    <t xml:space="preserve">2024-07-01</t>
  </si>
  <si>
    <t xml:space="preserve">2024-07-07</t>
  </si>
  <si>
    <t xml:space="preserve">2024-07-08</t>
  </si>
  <si>
    <t xml:space="preserve">2024-07-14</t>
  </si>
  <si>
    <t xml:space="preserve">2024-07-15</t>
  </si>
  <si>
    <t xml:space="preserve">2024-07-21</t>
  </si>
  <si>
    <t xml:space="preserve">2024-07-22</t>
  </si>
  <si>
    <t xml:space="preserve">2024-07-28</t>
  </si>
  <si>
    <t xml:space="preserve">2024-07-29</t>
  </si>
  <si>
    <t xml:space="preserve">2024-08-04</t>
  </si>
  <si>
    <t xml:space="preserve">2024-08-05</t>
  </si>
  <si>
    <t xml:space="preserve">2024-08-11</t>
  </si>
  <si>
    <t xml:space="preserve">New waterers installed</t>
  </si>
  <si>
    <t xml:space="preserve">2024-08-12</t>
  </si>
  <si>
    <t xml:space="preserve">2024-08-18</t>
  </si>
  <si>
    <t xml:space="preserve">2024-08-19</t>
  </si>
  <si>
    <t xml:space="preserve">2024-08-25</t>
  </si>
  <si>
    <t xml:space="preserve">2024-09-01</t>
  </si>
  <si>
    <t xml:space="preserve">2024-09-02</t>
  </si>
  <si>
    <t xml:space="preserve">2024-09-08</t>
  </si>
  <si>
    <t xml:space="preserve">2024-09-09</t>
  </si>
  <si>
    <t xml:space="preserve">2024-09-15</t>
  </si>
  <si>
    <t xml:space="preserve">2024-09-16</t>
  </si>
  <si>
    <t xml:space="preserve">2024-09-22</t>
  </si>
  <si>
    <t xml:space="preserve">Predator scare — reinforced coop</t>
  </si>
  <si>
    <t xml:space="preserve">2024-09-23</t>
  </si>
  <si>
    <t xml:space="preserve">2024-09-29</t>
  </si>
  <si>
    <t xml:space="preserve">2024-09-30</t>
  </si>
  <si>
    <t xml:space="preserve">2024-10-06</t>
  </si>
  <si>
    <t xml:space="preserve">2024-10-07</t>
  </si>
  <si>
    <t xml:space="preserve">2024-10-13</t>
  </si>
  <si>
    <t xml:space="preserve">2024-10-14</t>
  </si>
  <si>
    <t xml:space="preserve">2024-10-20</t>
  </si>
  <si>
    <t xml:space="preserve">2024-10-21</t>
  </si>
  <si>
    <t xml:space="preserve">2024-10-27</t>
  </si>
  <si>
    <t xml:space="preserve">2024-10-28</t>
  </si>
  <si>
    <t xml:space="preserve">2024-11-03</t>
  </si>
  <si>
    <t xml:space="preserve">2024-11-04</t>
  </si>
  <si>
    <t xml:space="preserve">2024-11-10</t>
  </si>
  <si>
    <t xml:space="preserve">2024-11-11</t>
  </si>
  <si>
    <t xml:space="preserve">2024-11-17</t>
  </si>
  <si>
    <t xml:space="preserve">2024-11-18</t>
  </si>
  <si>
    <t xml:space="preserve">2024-11-24</t>
  </si>
  <si>
    <t xml:space="preserve">Peak laying — warm weather</t>
  </si>
  <si>
    <t xml:space="preserve">2024-12-01</t>
  </si>
  <si>
    <t xml:space="preserve">2024-12-02</t>
  </si>
  <si>
    <t xml:space="preserve">2024-12-08</t>
  </si>
  <si>
    <t xml:space="preserve">2024-12-09</t>
  </si>
  <si>
    <t xml:space="preserve">2024-12-15</t>
  </si>
  <si>
    <t xml:space="preserve">2024-12-16</t>
  </si>
  <si>
    <t xml:space="preserve">2024-12-22</t>
  </si>
  <si>
    <t xml:space="preserve">2024-12-23</t>
  </si>
  <si>
    <t xml:space="preserve">2024-12-29</t>
  </si>
  <si>
    <t xml:space="preserve">2024-12-30</t>
  </si>
  <si>
    <t xml:space="preserve">2025-01-05</t>
  </si>
  <si>
    <t xml:space="preserve">2025-01-06</t>
  </si>
  <si>
    <t xml:space="preserve">2025-01-12</t>
  </si>
  <si>
    <t xml:space="preserve">End of year — strong production</t>
  </si>
  <si>
    <t xml:space="preserve">2025-01-13</t>
  </si>
  <si>
    <t xml:space="preserve">2025-01-19</t>
  </si>
  <si>
    <t xml:space="preserve">2025-01-20</t>
  </si>
  <si>
    <t xml:space="preserve">2025-01-26</t>
  </si>
  <si>
    <t xml:space="preserve">2025-01-27</t>
  </si>
  <si>
    <t xml:space="preserve">2025-02-02</t>
  </si>
  <si>
    <t xml:space="preserve">2025-02-03</t>
  </si>
  <si>
    <t xml:space="preserve">2025-02-09</t>
  </si>
  <si>
    <t xml:space="preserve">  Egg Sales — All Transactions (Source CSV vs ERPNext)</t>
  </si>
  <si>
    <t xml:space="preserve">Customer</t>
  </si>
  <si>
    <t xml:space="preserve">Trays</t>
  </si>
  <si>
    <t xml:space="preserve">Price/Tray (KES)</t>
  </si>
  <si>
    <t xml:space="preserve">ERPNext Invoice</t>
  </si>
  <si>
    <t xml:space="preserve">Damaris Sigei</t>
  </si>
  <si>
    <t xml:space="preserve">ACC-SINV-2026-00300</t>
  </si>
  <si>
    <t xml:space="preserve">Apiyo Kibe</t>
  </si>
  <si>
    <t xml:space="preserve">ACC-SINV-2026-00301</t>
  </si>
  <si>
    <t xml:space="preserve">Atieno Ndirangu</t>
  </si>
  <si>
    <t xml:space="preserve">ACC-SINV-2026-00302</t>
  </si>
  <si>
    <t xml:space="preserve">ACC-SINV-2026-00303</t>
  </si>
  <si>
    <t xml:space="preserve">ACC-SINV-2026-00304</t>
  </si>
  <si>
    <t xml:space="preserve">Delivered to shop</t>
  </si>
  <si>
    <t xml:space="preserve">ACC-SINV-2026-00305</t>
  </si>
  <si>
    <t xml:space="preserve">Murimi Onyango</t>
  </si>
  <si>
    <t xml:space="preserve">ACC-SINV-2026-00306</t>
  </si>
  <si>
    <t xml:space="preserve">ACC-SINV-2026-00307</t>
  </si>
  <si>
    <t xml:space="preserve">ACC-SINV-2026-00308</t>
  </si>
  <si>
    <t xml:space="preserve">ACC-SINV-2026-00309</t>
  </si>
  <si>
    <t xml:space="preserve">ACC-SINV-2026-00310</t>
  </si>
  <si>
    <t xml:space="preserve">ACC-SINV-2026-00312</t>
  </si>
  <si>
    <t xml:space="preserve">ACC-SINV-2026-00311</t>
  </si>
  <si>
    <t xml:space="preserve">ACC-SINV-2026-00313</t>
  </si>
  <si>
    <t xml:space="preserve">ACC-SINV-2026-00314</t>
  </si>
  <si>
    <t xml:space="preserve">ACC-SINV-2026-00315</t>
  </si>
  <si>
    <t xml:space="preserve">ACC-SINV-2026-00316</t>
  </si>
  <si>
    <t xml:space="preserve">ACC-SINV-2026-00317</t>
  </si>
  <si>
    <t xml:space="preserve">ACC-SINV-2026-00318</t>
  </si>
  <si>
    <t xml:space="preserve">ACC-SINV-2026-00319</t>
  </si>
  <si>
    <t xml:space="preserve">ACC-SINV-2026-00320</t>
  </si>
  <si>
    <t xml:space="preserve">ACC-SINV-2026-00321</t>
  </si>
  <si>
    <t xml:space="preserve">ACC-SINV-2026-00323</t>
  </si>
  <si>
    <t xml:space="preserve">ACC-SINV-2026-00322</t>
  </si>
  <si>
    <t xml:space="preserve">ACC-SINV-2026-00324</t>
  </si>
  <si>
    <t xml:space="preserve">ACC-SINV-2026-00325</t>
  </si>
  <si>
    <t xml:space="preserve">ACC-SINV-2026-00326</t>
  </si>
  <si>
    <t xml:space="preserve">Picked up at gate</t>
  </si>
  <si>
    <t xml:space="preserve">ACC-SINV-2026-00327</t>
  </si>
  <si>
    <t xml:space="preserve">ACC-SINV-2026-00328</t>
  </si>
  <si>
    <t xml:space="preserve">ACC-SINV-2026-00329</t>
  </si>
  <si>
    <t xml:space="preserve">ACC-SINV-2026-00330</t>
  </si>
  <si>
    <t xml:space="preserve">ACC-SINV-2026-00331</t>
  </si>
  <si>
    <t xml:space="preserve">ACC-SINV-2026-00332</t>
  </si>
  <si>
    <t xml:space="preserve">ACC-SINV-2026-00333</t>
  </si>
  <si>
    <t xml:space="preserve">ACC-SINV-2026-00334</t>
  </si>
  <si>
    <t xml:space="preserve">ACC-SINV-2026-00335</t>
  </si>
  <si>
    <t xml:space="preserve">ACC-SINV-2026-00336</t>
  </si>
  <si>
    <t xml:space="preserve">ACC-SINV-2026-00337</t>
  </si>
  <si>
    <t xml:space="preserve">ACC-SINV-2026-00338</t>
  </si>
  <si>
    <t xml:space="preserve">ACC-SINV-2026-00339</t>
  </si>
  <si>
    <t xml:space="preserve">ACC-SINV-2026-00340</t>
  </si>
  <si>
    <t xml:space="preserve">ACC-SINV-2026-00341</t>
  </si>
  <si>
    <t xml:space="preserve">ACC-SINV-2026-00342</t>
  </si>
  <si>
    <t xml:space="preserve">ACC-SINV-2026-00343</t>
  </si>
  <si>
    <t xml:space="preserve">ACC-SINV-2026-00344</t>
  </si>
  <si>
    <t xml:space="preserve">ACC-SINV-2026-00345</t>
  </si>
  <si>
    <t xml:space="preserve">ACC-SINV-2026-00346</t>
  </si>
  <si>
    <t xml:space="preserve">ACC-SINV-2026-00347</t>
  </si>
  <si>
    <t xml:space="preserve">ACC-SINV-2026-00348</t>
  </si>
  <si>
    <t xml:space="preserve">ACC-SINV-2026-00349</t>
  </si>
  <si>
    <t xml:space="preserve">ACC-SINV-2026-00350</t>
  </si>
  <si>
    <t xml:space="preserve">ACC-SINV-2026-00351</t>
  </si>
  <si>
    <t xml:space="preserve">ACC-SINV-2026-00352</t>
  </si>
  <si>
    <t xml:space="preserve">ACC-SINV-2026-00353</t>
  </si>
  <si>
    <t xml:space="preserve">ACC-SINV-2026-00354</t>
  </si>
  <si>
    <t xml:space="preserve">ACC-SINV-2026-00355</t>
  </si>
  <si>
    <t xml:space="preserve">ACC-SINV-2026-00356</t>
  </si>
  <si>
    <t xml:space="preserve">ACC-SINV-2026-00357</t>
  </si>
  <si>
    <t xml:space="preserve">ACC-SINV-2026-00358</t>
  </si>
  <si>
    <t xml:space="preserve">ACC-SINV-2026-00359</t>
  </si>
  <si>
    <t xml:space="preserve">ACC-SINV-2026-00360</t>
  </si>
  <si>
    <t xml:space="preserve">ACC-SINV-2026-00361</t>
  </si>
  <si>
    <t xml:space="preserve">ACC-SINV-2026-00362</t>
  </si>
  <si>
    <t xml:space="preserve">ACC-SINV-2026-00363</t>
  </si>
  <si>
    <t xml:space="preserve">ACC-SINV-2026-00364</t>
  </si>
  <si>
    <t xml:space="preserve">ACC-SINV-2026-00365</t>
  </si>
  <si>
    <t xml:space="preserve">ACC-SINV-2026-00366</t>
  </si>
  <si>
    <t xml:space="preserve">ACC-SINV-2026-00367</t>
  </si>
  <si>
    <t xml:space="preserve">ACC-SINV-2026-00368</t>
  </si>
  <si>
    <t xml:space="preserve">ACC-SINV-2026-00369</t>
  </si>
  <si>
    <t xml:space="preserve">ACC-SINV-2026-00370</t>
  </si>
  <si>
    <t xml:space="preserve">ACC-SINV-2026-00371</t>
  </si>
  <si>
    <t xml:space="preserve">ACC-SINV-2026-00372</t>
  </si>
  <si>
    <t xml:space="preserve">ACC-SINV-2026-00373</t>
  </si>
  <si>
    <t xml:space="preserve">ACC-SINV-2026-00374</t>
  </si>
  <si>
    <t xml:space="preserve">ACC-SINV-2026-00375</t>
  </si>
  <si>
    <t xml:space="preserve">ACC-SINV-2026-00376</t>
  </si>
  <si>
    <t xml:space="preserve">ACC-SINV-2026-00377</t>
  </si>
  <si>
    <t xml:space="preserve">ACC-SINV-2026-00378</t>
  </si>
  <si>
    <t xml:space="preserve">ACC-SINV-2026-00379</t>
  </si>
  <si>
    <t xml:space="preserve">ACC-SINV-2026-00380</t>
  </si>
  <si>
    <t xml:space="preserve">ACC-SINV-2026-00381</t>
  </si>
  <si>
    <t xml:space="preserve">ACC-SINV-2026-00382</t>
  </si>
  <si>
    <t xml:space="preserve">ACC-SINV-2026-00383</t>
  </si>
  <si>
    <t xml:space="preserve">ACC-SINV-2026-00384</t>
  </si>
  <si>
    <t xml:space="preserve">ACC-SINV-2026-00385</t>
  </si>
  <si>
    <t xml:space="preserve">ACC-SINV-2026-00386</t>
  </si>
  <si>
    <t xml:space="preserve">ACC-SINV-2026-00387</t>
  </si>
  <si>
    <t xml:space="preserve">ACC-SINV-2026-00388</t>
  </si>
  <si>
    <t xml:space="preserve">ACC-SINV-2026-00389</t>
  </si>
  <si>
    <t xml:space="preserve">ACC-SINV-2026-00390</t>
  </si>
  <si>
    <t xml:space="preserve">ACC-SINV-2026-00391</t>
  </si>
  <si>
    <t xml:space="preserve">ACC-SINV-2026-00392</t>
  </si>
  <si>
    <t xml:space="preserve">ACC-SINV-2026-00393</t>
  </si>
  <si>
    <t xml:space="preserve">ACC-SINV-2026-00394</t>
  </si>
  <si>
    <t xml:space="preserve">ACC-SINV-2026-00395</t>
  </si>
  <si>
    <t xml:space="preserve">ACC-SINV-2026-00396</t>
  </si>
  <si>
    <t xml:space="preserve">ACC-SINV-2026-00397</t>
  </si>
  <si>
    <t xml:space="preserve">ACC-SINV-2026-00398</t>
  </si>
  <si>
    <t xml:space="preserve">ACC-SINV-2026-00399</t>
  </si>
  <si>
    <t xml:space="preserve">ACC-SINV-2026-00400</t>
  </si>
  <si>
    <t xml:space="preserve">ACC-SINV-2026-00401</t>
  </si>
  <si>
    <t xml:space="preserve">ACC-SINV-2026-00402</t>
  </si>
  <si>
    <t xml:space="preserve">Compliance Documents — Licences &amp; Permits</t>
  </si>
  <si>
    <t xml:space="preserve">9 documents migrated  |  6 expired at migration date (historical accuracy preserved)</t>
  </si>
  <si>
    <t xml:space="preserve">  All Compliance Documents (Source CSV vs ERPNext)</t>
  </si>
  <si>
    <t xml:space="preserve">Document Type</t>
  </si>
  <si>
    <t xml:space="preserve">Document Number</t>
  </si>
  <si>
    <t xml:space="preserve">Issuing Authority</t>
  </si>
  <si>
    <t xml:space="preserve">Issue Date</t>
  </si>
  <si>
    <t xml:space="preserve">Expiry Date</t>
  </si>
  <si>
    <t xml:space="preserve">Expired Flag</t>
  </si>
  <si>
    <t xml:space="preserve">Renewal Fee (KES)</t>
  </si>
  <si>
    <t xml:space="preserve">KRA PIN Certificate</t>
  </si>
  <si>
    <t xml:space="preserve">A005847293K</t>
  </si>
  <si>
    <t xml:space="preserve">Kenya Revenue Authority</t>
  </si>
  <si>
    <t xml:space="preserve">2024-01-10</t>
  </si>
  <si>
    <t xml:space="preserve">No expiry</t>
  </si>
  <si>
    <t xml:space="preserve">Active</t>
  </si>
  <si>
    <t xml:space="preserve">✓ Active</t>
  </si>
  <si>
    <t xml:space="preserve">—</t>
  </si>
  <si>
    <t xml:space="preserve">Single Business Permit</t>
  </si>
  <si>
    <t xml:space="preserve">SBP/NBI/2024/038472</t>
  </si>
  <si>
    <t xml:space="preserve">Nairobi County Government</t>
  </si>
  <si>
    <t xml:space="preserve">2024-12-31</t>
  </si>
  <si>
    <t xml:space="preserve">✓ Expired</t>
  </si>
  <si>
    <t xml:space="preserve">⚠ Expired</t>
  </si>
  <si>
    <t xml:space="preserve">Tax Compliance Certificate</t>
  </si>
  <si>
    <t xml:space="preserve">TCC/2024/0293847</t>
  </si>
  <si>
    <t xml:space="preserve">2025-02-19</t>
  </si>
  <si>
    <t xml:space="preserve">eTIMS Registration Certificate</t>
  </si>
  <si>
    <t xml:space="preserve">ETIMS/CU/2024/00384</t>
  </si>
  <si>
    <t xml:space="preserve">2024-01-20</t>
  </si>
  <si>
    <t xml:space="preserve">Fire Safety Certificate</t>
  </si>
  <si>
    <t xml:space="preserve">FSC/NBI/2024/009283</t>
  </si>
  <si>
    <t xml:space="preserve">Nairobi County Fire Department</t>
  </si>
  <si>
    <t xml:space="preserve">2024-01-25</t>
  </si>
  <si>
    <t xml:space="preserve">2025-01-24</t>
  </si>
  <si>
    <t xml:space="preserve">Public Health License</t>
  </si>
  <si>
    <t xml:space="preserve">PHL/NBI/2024/004827</t>
  </si>
  <si>
    <t xml:space="preserve">Nairobi County Public Health</t>
  </si>
  <si>
    <t xml:space="preserve">2024-02-05</t>
  </si>
  <si>
    <t xml:space="preserve">NEMA Environmental License</t>
  </si>
  <si>
    <t xml:space="preserve">NEMA/2024/EL/003948</t>
  </si>
  <si>
    <t xml:space="preserve">National Environment Management Authority</t>
  </si>
  <si>
    <t xml:space="preserve">2024-03-01</t>
  </si>
  <si>
    <t xml:space="preserve">2025-02-28</t>
  </si>
  <si>
    <t xml:space="preserve">Business Registration Certificate</t>
  </si>
  <si>
    <t xml:space="preserve">BN/2024/038291</t>
  </si>
  <si>
    <t xml:space="preserve">Office of the Registrar of Companies</t>
  </si>
  <si>
    <t xml:space="preserve">2024-01-08</t>
  </si>
  <si>
    <t xml:space="preserve">Poultry Keeping Permit</t>
  </si>
  <si>
    <t xml:space="preserve">VET/NBI/2024/002938</t>
  </si>
  <si>
    <t xml:space="preserve">County Veterinary Office</t>
  </si>
  <si>
    <t xml:space="preserve">2024-01-30</t>
  </si>
  <si>
    <t xml:space="preserve">  Summary</t>
  </si>
  <si>
    <t xml:space="preserve">Item</t>
  </si>
  <si>
    <t xml:space="preserve">Source</t>
  </si>
  <si>
    <t xml:space="preserve">Total documents migrated</t>
  </si>
  <si>
    <t xml:space="preserve">Currently active</t>
  </si>
  <si>
    <t xml:space="preserve">KRA PIN, eTIMS Registration, Business Registration — no expiry</t>
  </si>
  <si>
    <t xml:space="preserve">Expired at migration date</t>
  </si>
  <si>
    <t xml:space="preserve">Historical accuracy preserved in ERPNext — marked is_expired = 1</t>
  </si>
  <si>
    <t xml:space="preserve">Total renewal fees due (KES)</t>
  </si>
  <si>
    <t xml:space="preserve">Single Business Permit + Fire Safety + Public Health + NEMA + Poultry</t>
  </si>
  <si>
    <t xml:space="preserve">Monthly Income &amp; Expenditure — Jan 2024 to Feb 2025</t>
  </si>
  <si>
    <t xml:space="preserve">Source system data vs ERPNext — operating income and expenses by month</t>
  </si>
  <si>
    <t xml:space="preserve">  Monthly P&amp;L Summary</t>
  </si>
  <si>
    <t xml:space="preserve">Income (KES)</t>
  </si>
  <si>
    <t xml:space="preserve">Expenses (KES)</t>
  </si>
  <si>
    <t xml:space="preserve">Net (KES)</t>
  </si>
  <si>
    <t xml:space="preserve">ERPNext Income</t>
  </si>
  <si>
    <t xml:space="preserve">ERPNext Expenses</t>
  </si>
  <si>
    <t xml:space="preserve">  Notes on Income Categories</t>
  </si>
  <si>
    <t xml:space="preserve">Events Venue Hire</t>
  </si>
  <si>
    <t xml:space="preserve">Room Rentals</t>
  </si>
  <si>
    <t xml:space="preserve">Egg Sales</t>
  </si>
  <si>
    <t xml:space="preserve">Wellness Services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</si>
</sst>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yyyy\-mm\-dd\ h:mm:ss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00640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35"/>
        <bgColor rgb="FF333300"/>
      </patternFill>
    </fill>
    <fill>
      <patternFill patternType="solid">
        <fgColor rgb="FF2E7D52"/>
        <bgColor rgb="FF008080"/>
      </patternFill>
    </fill>
    <fill>
      <patternFill patternType="solid">
        <fgColor rgb="FFB8860B"/>
        <bgColor rgb="FFFF9900"/>
      </patternFill>
    </fill>
    <fill>
      <patternFill patternType="solid">
        <fgColor rgb="FFD0EAD8"/>
        <bgColor rgb="FFD4EDDA"/>
      </patternFill>
    </fill>
    <fill>
      <patternFill patternType="solid">
        <fgColor rgb="FFD4EDDA"/>
        <bgColor rgb="FFD0EAD8"/>
      </patternFill>
    </fill>
    <fill>
      <patternFill patternType="solid">
        <fgColor rgb="FFE8F5EE"/>
        <bgColor rgb="FFE3F2FD"/>
      </patternFill>
    </fill>
    <fill>
      <patternFill patternType="solid">
        <fgColor rgb="FFFFF8E1"/>
        <bgColor rgb="FFFFF3CD"/>
      </patternFill>
    </fill>
    <fill>
      <patternFill patternType="solid">
        <fgColor rgb="FFC9E5FB"/>
        <bgColor rgb="FFD0EAD8"/>
      </patternFill>
    </fill>
    <fill>
      <patternFill patternType="solid">
        <fgColor rgb="FFE3F2FD"/>
        <bgColor rgb="FFE8F5EE"/>
      </patternFill>
    </fill>
    <fill>
      <patternFill patternType="solid">
        <fgColor rgb="FFFFF3CD"/>
        <bgColor rgb="FFFFF8E1"/>
      </patternFill>
    </fill>
    <fill>
      <patternFill patternType="solid">
        <fgColor rgb="FFE8D0F0"/>
        <bgColor rgb="FFF8D7DA"/>
      </patternFill>
    </fill>
    <fill>
      <patternFill patternType="solid">
        <fgColor rgb="FFF8D7DA"/>
        <bgColor rgb="FFE8D0F0"/>
      </patternFill>
    </fill>
    <fill>
      <patternFill patternType="solid">
        <fgColor rgb="FFFFFFFF"/>
        <bgColor rgb="FFFFF8E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B8860B"/>
      <rgbColor rgb="FF800080"/>
      <rgbColor rgb="FF008080"/>
      <rgbColor rgb="FFCCCCCC"/>
      <rgbColor rgb="FF808080"/>
      <rgbColor rgb="FF9999FF"/>
      <rgbColor rgb="FF993366"/>
      <rgbColor rgb="FFFFF8E1"/>
      <rgbColor rgb="FFE3F2FD"/>
      <rgbColor rgb="FF660066"/>
      <rgbColor rgb="FFFF8080"/>
      <rgbColor rgb="FF0066CC"/>
      <rgbColor rgb="FFE8D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E"/>
      <rgbColor rgb="FFD4EDDA"/>
      <rgbColor rgb="FFFFF3CD"/>
      <rgbColor rgb="FFC9E5FB"/>
      <rgbColor rgb="FFFF99CC"/>
      <rgbColor rgb="FFD0EAD8"/>
      <rgbColor rgb="FFF8D7D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2E7D52"/>
      <rgbColor rgb="FF003300"/>
      <rgbColor rgb="FF333300"/>
      <rgbColor rgb="FF993300"/>
      <rgbColor rgb="FF993366"/>
      <rgbColor rgb="FF333399"/>
      <rgbColor rgb="FF1F4E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4"/>
    <col collapsed="false" customWidth="true" hidden="false" outlineLevel="0" max="4" min="3" style="0" width="18"/>
    <col collapsed="false" customWidth="true" hidden="false" outlineLevel="0" max="6" min="5" style="0" width="14"/>
    <col collapsed="false" customWidth="true" hidden="false" outlineLevel="0" max="7" min="7" style="0" width="4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9.75" hidden="false" customHeight="true" outlineLevel="0" collapsed="false"/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4" t="s">
        <v>5</v>
      </c>
      <c r="E4" s="3" t="s">
        <v>6</v>
      </c>
      <c r="F4" s="3" t="s">
        <v>7</v>
      </c>
      <c r="G4" s="3" t="s">
        <v>8</v>
      </c>
    </row>
    <row r="5" customFormat="false" ht="15.75" hidden="false" customHeight="true" outlineLevel="0" collapsed="false">
      <c r="A5" s="5" t="s">
        <v>9</v>
      </c>
      <c r="B5" s="5"/>
      <c r="C5" s="5"/>
      <c r="D5" s="5"/>
      <c r="E5" s="5"/>
      <c r="F5" s="5"/>
      <c r="G5" s="5"/>
    </row>
    <row r="6" customFormat="false" ht="15.75" hidden="false" customHeight="true" outlineLevel="0" collapsed="false">
      <c r="A6" s="6" t="s">
        <v>10</v>
      </c>
      <c r="B6" s="6" t="s">
        <v>11</v>
      </c>
      <c r="C6" s="7" t="n">
        <v>220</v>
      </c>
      <c r="D6" s="8" t="n">
        <v>220</v>
      </c>
      <c r="E6" s="7" t="n">
        <v>0</v>
      </c>
      <c r="F6" s="9" t="s">
        <v>12</v>
      </c>
      <c r="G6" s="10"/>
    </row>
    <row r="7" customFormat="false" ht="15.75" hidden="false" customHeight="true" outlineLevel="0" collapsed="false">
      <c r="A7" s="11" t="s">
        <v>10</v>
      </c>
      <c r="B7" s="11" t="s">
        <v>13</v>
      </c>
      <c r="C7" s="12" t="n">
        <v>2589840</v>
      </c>
      <c r="D7" s="13" t="n">
        <v>2589840</v>
      </c>
      <c r="E7" s="12" t="n">
        <v>0</v>
      </c>
      <c r="F7" s="9" t="s">
        <v>12</v>
      </c>
      <c r="G7" s="14"/>
    </row>
    <row r="8" customFormat="false" ht="15.75" hidden="false" customHeight="true" outlineLevel="0" collapsed="false">
      <c r="A8" s="6" t="s">
        <v>10</v>
      </c>
      <c r="B8" s="6" t="s">
        <v>14</v>
      </c>
      <c r="C8" s="7" t="n">
        <v>54</v>
      </c>
      <c r="D8" s="8" t="n">
        <v>54</v>
      </c>
      <c r="E8" s="7" t="n">
        <v>0</v>
      </c>
      <c r="F8" s="9" t="s">
        <v>12</v>
      </c>
      <c r="G8" s="10"/>
    </row>
    <row r="9" customFormat="false" ht="15.75" hidden="false" customHeight="true" outlineLevel="0" collapsed="false">
      <c r="A9" s="11" t="s">
        <v>10</v>
      </c>
      <c r="B9" s="11" t="s">
        <v>15</v>
      </c>
      <c r="C9" s="12" t="n">
        <v>619000</v>
      </c>
      <c r="D9" s="13" t="n">
        <v>619000</v>
      </c>
      <c r="E9" s="12" t="n">
        <v>0</v>
      </c>
      <c r="F9" s="9" t="s">
        <v>12</v>
      </c>
      <c r="G9" s="14"/>
    </row>
    <row r="10" customFormat="false" ht="15.75" hidden="false" customHeight="true" outlineLevel="0" collapsed="false">
      <c r="A10" s="6" t="s">
        <v>10</v>
      </c>
      <c r="B10" s="6" t="s">
        <v>16</v>
      </c>
      <c r="C10" s="7" t="n">
        <v>25</v>
      </c>
      <c r="D10" s="8" t="n">
        <v>25</v>
      </c>
      <c r="E10" s="7" t="n">
        <v>0</v>
      </c>
      <c r="F10" s="9" t="s">
        <v>12</v>
      </c>
      <c r="G10" s="10"/>
    </row>
    <row r="11" customFormat="false" ht="15.75" hidden="false" customHeight="true" outlineLevel="0" collapsed="false">
      <c r="A11" s="11" t="s">
        <v>10</v>
      </c>
      <c r="B11" s="11" t="s">
        <v>17</v>
      </c>
      <c r="C11" s="12" t="n">
        <v>1698000</v>
      </c>
      <c r="D11" s="13" t="n">
        <v>1698000</v>
      </c>
      <c r="E11" s="12" t="n">
        <v>0</v>
      </c>
      <c r="F11" s="9" t="s">
        <v>12</v>
      </c>
      <c r="G11" s="14"/>
    </row>
    <row r="12" customFormat="false" ht="15.75" hidden="false" customHeight="true" outlineLevel="0" collapsed="false">
      <c r="A12" s="6" t="s">
        <v>10</v>
      </c>
      <c r="B12" s="6" t="s">
        <v>18</v>
      </c>
      <c r="C12" s="7" t="n">
        <v>103</v>
      </c>
      <c r="D12" s="8" t="n">
        <v>103</v>
      </c>
      <c r="E12" s="7" t="n">
        <v>0</v>
      </c>
      <c r="F12" s="9" t="s">
        <v>12</v>
      </c>
      <c r="G12" s="10"/>
    </row>
    <row r="13" customFormat="false" ht="15.75" hidden="false" customHeight="true" outlineLevel="0" collapsed="false">
      <c r="A13" s="11" t="s">
        <v>10</v>
      </c>
      <c r="B13" s="11" t="s">
        <v>19</v>
      </c>
      <c r="C13" s="12" t="n">
        <v>136840</v>
      </c>
      <c r="D13" s="13" t="n">
        <v>136840</v>
      </c>
      <c r="E13" s="12" t="n">
        <v>0</v>
      </c>
      <c r="F13" s="9" t="s">
        <v>12</v>
      </c>
      <c r="G13" s="14"/>
    </row>
    <row r="14" customFormat="false" ht="15.75" hidden="false" customHeight="true" outlineLevel="0" collapsed="false">
      <c r="A14" s="6" t="s">
        <v>10</v>
      </c>
      <c r="B14" s="6" t="s">
        <v>20</v>
      </c>
      <c r="C14" s="7" t="n">
        <v>2589840</v>
      </c>
      <c r="D14" s="8" t="n">
        <v>2589840</v>
      </c>
      <c r="E14" s="7" t="n">
        <v>0</v>
      </c>
      <c r="F14" s="9" t="s">
        <v>12</v>
      </c>
      <c r="G14" s="10"/>
    </row>
    <row r="15" customFormat="false" ht="15.75" hidden="false" customHeight="true" outlineLevel="0" collapsed="false">
      <c r="A15" s="5" t="s">
        <v>21</v>
      </c>
      <c r="B15" s="5"/>
      <c r="C15" s="5"/>
      <c r="D15" s="5"/>
      <c r="E15" s="5"/>
      <c r="F15" s="5"/>
      <c r="G15" s="5"/>
    </row>
    <row r="16" customFormat="false" ht="15.75" hidden="false" customHeight="true" outlineLevel="0" collapsed="false">
      <c r="A16" s="15" t="s">
        <v>22</v>
      </c>
      <c r="B16" s="15" t="s">
        <v>23</v>
      </c>
      <c r="C16" s="16" t="n">
        <v>727</v>
      </c>
      <c r="D16" s="17" t="n">
        <v>727</v>
      </c>
      <c r="E16" s="16" t="n">
        <v>0</v>
      </c>
      <c r="F16" s="9" t="s">
        <v>12</v>
      </c>
      <c r="G16" s="18" t="s">
        <v>24</v>
      </c>
    </row>
    <row r="17" customFormat="false" ht="15.75" hidden="false" customHeight="true" outlineLevel="0" collapsed="false">
      <c r="A17" s="5" t="s">
        <v>25</v>
      </c>
      <c r="B17" s="5"/>
      <c r="C17" s="5"/>
      <c r="D17" s="5"/>
      <c r="E17" s="5"/>
      <c r="F17" s="5"/>
      <c r="G17" s="5"/>
    </row>
    <row r="18" customFormat="false" ht="15.75" hidden="false" customHeight="true" outlineLevel="0" collapsed="false">
      <c r="A18" s="19" t="s">
        <v>26</v>
      </c>
      <c r="B18" s="19" t="s">
        <v>27</v>
      </c>
      <c r="C18" s="20" t="n">
        <v>77</v>
      </c>
      <c r="D18" s="21" t="n">
        <v>77</v>
      </c>
      <c r="E18" s="20" t="n">
        <v>0</v>
      </c>
      <c r="F18" s="9" t="s">
        <v>12</v>
      </c>
      <c r="G18" s="22"/>
    </row>
    <row r="19" customFormat="false" ht="15.75" hidden="false" customHeight="true" outlineLevel="0" collapsed="false">
      <c r="A19" s="23" t="s">
        <v>26</v>
      </c>
      <c r="B19" s="23" t="s">
        <v>28</v>
      </c>
      <c r="C19" s="24" t="n">
        <v>193</v>
      </c>
      <c r="D19" s="25" t="n">
        <v>190</v>
      </c>
      <c r="E19" s="26" t="n">
        <v>-3</v>
      </c>
      <c r="F19" s="27" t="s">
        <v>29</v>
      </c>
      <c r="G19" s="28" t="s">
        <v>30</v>
      </c>
    </row>
    <row r="20" customFormat="false" ht="15.75" hidden="false" customHeight="true" outlineLevel="0" collapsed="false">
      <c r="A20" s="5" t="s">
        <v>31</v>
      </c>
      <c r="B20" s="5"/>
      <c r="C20" s="5"/>
      <c r="D20" s="5"/>
      <c r="E20" s="5"/>
      <c r="F20" s="5"/>
      <c r="G20" s="5"/>
    </row>
    <row r="21" customFormat="false" ht="15.75" hidden="false" customHeight="true" outlineLevel="0" collapsed="false">
      <c r="A21" s="29" t="s">
        <v>32</v>
      </c>
      <c r="B21" s="29" t="s">
        <v>33</v>
      </c>
      <c r="C21" s="30" t="n">
        <v>9</v>
      </c>
      <c r="D21" s="31" t="n">
        <v>9</v>
      </c>
      <c r="E21" s="30" t="n">
        <v>0</v>
      </c>
      <c r="F21" s="9" t="s">
        <v>12</v>
      </c>
      <c r="G21" s="32" t="s">
        <v>34</v>
      </c>
    </row>
    <row r="23" customFormat="false" ht="15.75" hidden="false" customHeight="true" outlineLevel="0" collapsed="false">
      <c r="A23" s="5" t="s">
        <v>35</v>
      </c>
      <c r="B23" s="5"/>
      <c r="C23" s="5"/>
      <c r="D23" s="5"/>
      <c r="E23" s="5"/>
      <c r="F23" s="5"/>
      <c r="G23" s="5"/>
    </row>
    <row r="24" customFormat="false" ht="13.5" hidden="false" customHeight="true" outlineLevel="0" collapsed="false">
      <c r="A24" s="9" t="s">
        <v>12</v>
      </c>
      <c r="B24" s="33" t="s">
        <v>36</v>
      </c>
      <c r="C24" s="33"/>
      <c r="D24" s="33"/>
      <c r="E24" s="33"/>
      <c r="F24" s="33"/>
      <c r="G24" s="33"/>
    </row>
    <row r="25" customFormat="false" ht="13.5" hidden="false" customHeight="true" outlineLevel="0" collapsed="false">
      <c r="A25" s="27" t="s">
        <v>29</v>
      </c>
      <c r="B25" s="34" t="s">
        <v>37</v>
      </c>
      <c r="C25" s="34"/>
      <c r="D25" s="34"/>
      <c r="E25" s="34"/>
      <c r="F25" s="34"/>
      <c r="G25" s="34"/>
    </row>
    <row r="26" customFormat="false" ht="13.5" hidden="false" customHeight="true" outlineLevel="0" collapsed="false">
      <c r="A26" s="35" t="s">
        <v>38</v>
      </c>
      <c r="B26" s="36" t="s">
        <v>39</v>
      </c>
      <c r="C26" s="36"/>
      <c r="D26" s="36"/>
      <c r="E26" s="36"/>
      <c r="F26" s="36"/>
      <c r="G26" s="36"/>
    </row>
    <row r="28" customFormat="false" ht="18" hidden="false" customHeight="true" outlineLevel="0" collapsed="false">
      <c r="A28" s="37" t="s">
        <v>40</v>
      </c>
      <c r="B28" s="37"/>
      <c r="C28" s="38" t="n">
        <v>5043680</v>
      </c>
      <c r="D28" s="38" t="n">
        <v>5043680</v>
      </c>
      <c r="E28" s="39"/>
      <c r="F28" s="39"/>
      <c r="G28" s="39"/>
    </row>
  </sheetData>
  <mergeCells count="11">
    <mergeCell ref="A1:H1"/>
    <mergeCell ref="A2:H2"/>
    <mergeCell ref="A5:G5"/>
    <mergeCell ref="A15:G15"/>
    <mergeCell ref="A17:G17"/>
    <mergeCell ref="A20:G20"/>
    <mergeCell ref="A23:G23"/>
    <mergeCell ref="B24:G24"/>
    <mergeCell ref="B25:G25"/>
    <mergeCell ref="B26:G26"/>
    <mergeCell ref="A28:B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32"/>
  </cols>
  <sheetData>
    <row r="1" customFormat="false" ht="27.75" hidden="false" customHeight="true" outlineLevel="0" collapsed="false">
      <c r="A1" s="1" t="s">
        <v>41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42</v>
      </c>
      <c r="B2" s="2"/>
      <c r="C2" s="2"/>
      <c r="D2" s="2"/>
      <c r="E2" s="2"/>
      <c r="F2" s="2"/>
      <c r="G2" s="2"/>
      <c r="H2" s="2"/>
      <c r="I2" s="2"/>
    </row>
    <row r="3" customFormat="false" ht="15.75" hidden="false" customHeight="true" outlineLevel="0" collapsed="false">
      <c r="A3" s="5" t="s">
        <v>43</v>
      </c>
      <c r="B3" s="5"/>
      <c r="C3" s="5"/>
      <c r="D3" s="5"/>
      <c r="E3" s="5"/>
      <c r="F3" s="5"/>
      <c r="G3" s="5"/>
      <c r="H3" s="5"/>
      <c r="I3" s="5"/>
    </row>
    <row r="4" customFormat="false" ht="30" hidden="false" customHeight="true" outlineLevel="0" collapsed="false">
      <c r="A4" s="3" t="s">
        <v>44</v>
      </c>
      <c r="B4" s="3" t="s">
        <v>45</v>
      </c>
      <c r="C4" s="3" t="s">
        <v>46</v>
      </c>
      <c r="D4" s="3" t="s">
        <v>47</v>
      </c>
      <c r="E4" s="3" t="s">
        <v>48</v>
      </c>
      <c r="F4" s="4" t="s">
        <v>45</v>
      </c>
      <c r="G4" s="4" t="s">
        <v>48</v>
      </c>
      <c r="H4" s="3" t="s">
        <v>7</v>
      </c>
      <c r="I4" s="3" t="s">
        <v>8</v>
      </c>
    </row>
    <row r="5" customFormat="false" ht="13.5" hidden="false" customHeight="true" outlineLevel="0" collapsed="false">
      <c r="A5" s="40" t="s">
        <v>49</v>
      </c>
      <c r="B5" s="41" t="n">
        <v>17</v>
      </c>
      <c r="C5" s="42" t="n">
        <v>119670</v>
      </c>
      <c r="D5" s="42" t="n">
        <v>0</v>
      </c>
      <c r="E5" s="42" t="n">
        <v>119670</v>
      </c>
      <c r="F5" s="41" t="n">
        <v>17</v>
      </c>
      <c r="G5" s="42" t="n">
        <v>119670</v>
      </c>
      <c r="H5" s="9" t="s">
        <v>12</v>
      </c>
      <c r="I5" s="43" t="s">
        <v>50</v>
      </c>
    </row>
    <row r="6" customFormat="false" ht="13.5" hidden="false" customHeight="true" outlineLevel="0" collapsed="false">
      <c r="A6" s="11" t="s">
        <v>51</v>
      </c>
      <c r="B6" s="44" t="n">
        <v>19</v>
      </c>
      <c r="C6" s="12" t="n">
        <v>195595</v>
      </c>
      <c r="D6" s="12" t="n">
        <v>0</v>
      </c>
      <c r="E6" s="12" t="n">
        <v>195595</v>
      </c>
      <c r="F6" s="44" t="n">
        <v>19</v>
      </c>
      <c r="G6" s="12" t="n">
        <v>195595</v>
      </c>
      <c r="H6" s="9" t="s">
        <v>12</v>
      </c>
      <c r="I6" s="45" t="s">
        <v>50</v>
      </c>
    </row>
    <row r="7" customFormat="false" ht="13.5" hidden="false" customHeight="true" outlineLevel="0" collapsed="false">
      <c r="A7" s="40" t="s">
        <v>52</v>
      </c>
      <c r="B7" s="41" t="n">
        <v>18</v>
      </c>
      <c r="C7" s="42" t="n">
        <v>186585</v>
      </c>
      <c r="D7" s="42" t="n">
        <v>0</v>
      </c>
      <c r="E7" s="42" t="n">
        <v>186585</v>
      </c>
      <c r="F7" s="41" t="n">
        <v>18</v>
      </c>
      <c r="G7" s="42" t="n">
        <v>186585</v>
      </c>
      <c r="H7" s="9" t="s">
        <v>12</v>
      </c>
      <c r="I7" s="43" t="s">
        <v>50</v>
      </c>
    </row>
    <row r="8" customFormat="false" ht="13.5" hidden="false" customHeight="true" outlineLevel="0" collapsed="false">
      <c r="A8" s="11" t="s">
        <v>53</v>
      </c>
      <c r="B8" s="44" t="n">
        <v>19</v>
      </c>
      <c r="C8" s="12" t="n">
        <v>184270</v>
      </c>
      <c r="D8" s="12" t="n">
        <v>0</v>
      </c>
      <c r="E8" s="12" t="n">
        <v>184270</v>
      </c>
      <c r="F8" s="44" t="n">
        <v>19</v>
      </c>
      <c r="G8" s="12" t="n">
        <v>184270</v>
      </c>
      <c r="H8" s="9" t="s">
        <v>12</v>
      </c>
      <c r="I8" s="45" t="s">
        <v>50</v>
      </c>
    </row>
    <row r="9" customFormat="false" ht="13.5" hidden="false" customHeight="true" outlineLevel="0" collapsed="false">
      <c r="A9" s="40" t="s">
        <v>54</v>
      </c>
      <c r="B9" s="41" t="n">
        <v>19</v>
      </c>
      <c r="C9" s="42" t="n">
        <v>220600</v>
      </c>
      <c r="D9" s="42" t="n">
        <v>0</v>
      </c>
      <c r="E9" s="42" t="n">
        <v>220600</v>
      </c>
      <c r="F9" s="41" t="n">
        <v>19</v>
      </c>
      <c r="G9" s="42" t="n">
        <v>220600</v>
      </c>
      <c r="H9" s="9" t="s">
        <v>12</v>
      </c>
      <c r="I9" s="43" t="s">
        <v>50</v>
      </c>
    </row>
    <row r="10" customFormat="false" ht="13.5" hidden="false" customHeight="true" outlineLevel="0" collapsed="false">
      <c r="A10" s="11" t="s">
        <v>55</v>
      </c>
      <c r="B10" s="44" t="n">
        <v>23</v>
      </c>
      <c r="C10" s="12" t="n">
        <v>235925</v>
      </c>
      <c r="D10" s="12" t="n">
        <v>0</v>
      </c>
      <c r="E10" s="12" t="n">
        <v>235925</v>
      </c>
      <c r="F10" s="44" t="n">
        <v>23</v>
      </c>
      <c r="G10" s="12" t="n">
        <v>235925</v>
      </c>
      <c r="H10" s="9" t="s">
        <v>12</v>
      </c>
      <c r="I10" s="45" t="s">
        <v>50</v>
      </c>
    </row>
    <row r="11" customFormat="false" ht="13.5" hidden="false" customHeight="true" outlineLevel="0" collapsed="false">
      <c r="A11" s="40" t="s">
        <v>56</v>
      </c>
      <c r="B11" s="41" t="n">
        <v>19</v>
      </c>
      <c r="C11" s="42" t="n">
        <v>256135</v>
      </c>
      <c r="D11" s="42" t="n">
        <v>0</v>
      </c>
      <c r="E11" s="42" t="n">
        <v>256135</v>
      </c>
      <c r="F11" s="41" t="n">
        <v>19</v>
      </c>
      <c r="G11" s="42" t="n">
        <v>256135</v>
      </c>
      <c r="H11" s="9" t="s">
        <v>12</v>
      </c>
      <c r="I11" s="43" t="s">
        <v>50</v>
      </c>
    </row>
    <row r="12" customFormat="false" ht="13.5" hidden="false" customHeight="true" outlineLevel="0" collapsed="false">
      <c r="A12" s="11" t="s">
        <v>57</v>
      </c>
      <c r="B12" s="44" t="n">
        <v>19</v>
      </c>
      <c r="C12" s="12" t="n">
        <v>323260</v>
      </c>
      <c r="D12" s="12" t="n">
        <v>0</v>
      </c>
      <c r="E12" s="12" t="n">
        <v>323260</v>
      </c>
      <c r="F12" s="44" t="n">
        <v>19</v>
      </c>
      <c r="G12" s="12" t="n">
        <v>323260</v>
      </c>
      <c r="H12" s="9" t="s">
        <v>12</v>
      </c>
      <c r="I12" s="45" t="s">
        <v>50</v>
      </c>
    </row>
    <row r="13" customFormat="false" ht="13.5" hidden="false" customHeight="true" outlineLevel="0" collapsed="false">
      <c r="A13" s="40" t="s">
        <v>58</v>
      </c>
      <c r="B13" s="41" t="n">
        <v>26</v>
      </c>
      <c r="C13" s="42" t="n">
        <v>405745</v>
      </c>
      <c r="D13" s="42" t="n">
        <v>0</v>
      </c>
      <c r="E13" s="42" t="n">
        <v>405745</v>
      </c>
      <c r="F13" s="41" t="n">
        <v>26</v>
      </c>
      <c r="G13" s="42" t="n">
        <v>405745</v>
      </c>
      <c r="H13" s="9" t="s">
        <v>12</v>
      </c>
      <c r="I13" s="43" t="s">
        <v>50</v>
      </c>
    </row>
    <row r="14" customFormat="false" ht="13.5" hidden="false" customHeight="true" outlineLevel="0" collapsed="false">
      <c r="A14" s="11" t="s">
        <v>59</v>
      </c>
      <c r="B14" s="44" t="n">
        <v>20</v>
      </c>
      <c r="C14" s="12" t="n">
        <v>304200</v>
      </c>
      <c r="D14" s="12" t="n">
        <v>0</v>
      </c>
      <c r="E14" s="12" t="n">
        <v>304200</v>
      </c>
      <c r="F14" s="44" t="n">
        <v>20</v>
      </c>
      <c r="G14" s="12" t="n">
        <v>304200</v>
      </c>
      <c r="H14" s="9" t="s">
        <v>12</v>
      </c>
      <c r="I14" s="45" t="s">
        <v>50</v>
      </c>
    </row>
    <row r="15" customFormat="false" ht="13.5" hidden="false" customHeight="true" outlineLevel="0" collapsed="false">
      <c r="A15" s="40" t="s">
        <v>60</v>
      </c>
      <c r="B15" s="41" t="n">
        <v>15</v>
      </c>
      <c r="C15" s="42" t="n">
        <v>119395</v>
      </c>
      <c r="D15" s="42" t="n">
        <v>0</v>
      </c>
      <c r="E15" s="42" t="n">
        <v>119395</v>
      </c>
      <c r="F15" s="41" t="n">
        <v>15</v>
      </c>
      <c r="G15" s="42" t="n">
        <v>119395</v>
      </c>
      <c r="H15" s="9" t="s">
        <v>12</v>
      </c>
      <c r="I15" s="43" t="s">
        <v>50</v>
      </c>
    </row>
    <row r="16" customFormat="false" ht="13.5" hidden="false" customHeight="true" outlineLevel="0" collapsed="false">
      <c r="A16" s="11" t="s">
        <v>61</v>
      </c>
      <c r="B16" s="44" t="n">
        <v>6</v>
      </c>
      <c r="C16" s="12" t="n">
        <v>38460</v>
      </c>
      <c r="D16" s="12" t="n">
        <v>0</v>
      </c>
      <c r="E16" s="12" t="n">
        <v>38460</v>
      </c>
      <c r="F16" s="44" t="n">
        <v>6</v>
      </c>
      <c r="G16" s="12" t="n">
        <v>38460</v>
      </c>
      <c r="H16" s="9" t="s">
        <v>12</v>
      </c>
      <c r="I16" s="45" t="s">
        <v>50</v>
      </c>
    </row>
    <row r="17" customFormat="false" ht="15.75" hidden="false" customHeight="true" outlineLevel="0" collapsed="false">
      <c r="A17" s="46" t="s">
        <v>62</v>
      </c>
      <c r="B17" s="47" t="n">
        <f aca="false">SUM(B5:B16)</f>
        <v>220</v>
      </c>
      <c r="C17" s="47" t="n">
        <f aca="false">SUM(C5:C16)</f>
        <v>2589840</v>
      </c>
      <c r="D17" s="47" t="n">
        <f aca="false">SUM(D5:D16)</f>
        <v>0</v>
      </c>
      <c r="E17" s="47" t="n">
        <f aca="false">SUM(E5:E16)</f>
        <v>2589840</v>
      </c>
      <c r="F17" s="47" t="n">
        <f aca="false">SUM(F5:F16)</f>
        <v>220</v>
      </c>
      <c r="G17" s="47" t="n">
        <f aca="false">SUM(G5:G16)</f>
        <v>2589840</v>
      </c>
      <c r="H17" s="9" t="s">
        <v>12</v>
      </c>
    </row>
    <row r="19" customFormat="false" ht="15.75" hidden="false" customHeight="true" outlineLevel="0" collapsed="false">
      <c r="A19" s="5" t="s">
        <v>63</v>
      </c>
      <c r="B19" s="5"/>
      <c r="C19" s="5"/>
      <c r="D19" s="5"/>
      <c r="E19" s="5"/>
      <c r="F19" s="5"/>
      <c r="G19" s="5"/>
      <c r="H19" s="5"/>
      <c r="I19" s="5"/>
    </row>
    <row r="20" customFormat="false" ht="30" hidden="false" customHeight="true" outlineLevel="0" collapsed="false">
      <c r="A20" s="3" t="s">
        <v>64</v>
      </c>
      <c r="B20" s="3" t="s">
        <v>65</v>
      </c>
      <c r="C20" s="3" t="s">
        <v>66</v>
      </c>
      <c r="D20" s="3" t="s">
        <v>67</v>
      </c>
      <c r="E20" s="3" t="s">
        <v>68</v>
      </c>
      <c r="F20" s="4" t="s">
        <v>65</v>
      </c>
      <c r="G20" s="4" t="s">
        <v>68</v>
      </c>
      <c r="H20" s="3" t="s">
        <v>7</v>
      </c>
      <c r="I20" s="3" t="s">
        <v>8</v>
      </c>
    </row>
    <row r="21" customFormat="false" ht="13.5" hidden="false" customHeight="true" outlineLevel="0" collapsed="false">
      <c r="A21" s="40" t="s">
        <v>69</v>
      </c>
      <c r="B21" s="41" t="n">
        <v>12</v>
      </c>
      <c r="C21" s="41" t="n">
        <v>20</v>
      </c>
      <c r="D21" s="42" t="n">
        <v>7000</v>
      </c>
      <c r="E21" s="42" t="n">
        <v>140000</v>
      </c>
      <c r="F21" s="41" t="n">
        <v>12</v>
      </c>
      <c r="G21" s="42" t="n">
        <v>140000</v>
      </c>
      <c r="H21" s="9" t="s">
        <v>12</v>
      </c>
      <c r="I21" s="48"/>
    </row>
    <row r="22" customFormat="false" ht="13.5" hidden="false" customHeight="true" outlineLevel="0" collapsed="false">
      <c r="A22" s="11" t="s">
        <v>70</v>
      </c>
      <c r="B22" s="44" t="n">
        <v>11</v>
      </c>
      <c r="C22" s="44" t="n">
        <v>17</v>
      </c>
      <c r="D22" s="12" t="n">
        <v>8000</v>
      </c>
      <c r="E22" s="12" t="n">
        <v>136000</v>
      </c>
      <c r="F22" s="44" t="n">
        <v>11</v>
      </c>
      <c r="G22" s="12" t="n">
        <v>136000</v>
      </c>
      <c r="H22" s="9" t="s">
        <v>12</v>
      </c>
      <c r="I22" s="49"/>
    </row>
    <row r="23" customFormat="false" ht="13.5" hidden="false" customHeight="true" outlineLevel="0" collapsed="false">
      <c r="A23" s="40" t="s">
        <v>71</v>
      </c>
      <c r="B23" s="41" t="n">
        <v>10</v>
      </c>
      <c r="C23" s="41" t="n">
        <v>17</v>
      </c>
      <c r="D23" s="42" t="n">
        <v>7000</v>
      </c>
      <c r="E23" s="42" t="n">
        <v>119000</v>
      </c>
      <c r="F23" s="41" t="n">
        <v>10</v>
      </c>
      <c r="G23" s="42" t="n">
        <v>119000</v>
      </c>
      <c r="H23" s="9" t="s">
        <v>12</v>
      </c>
      <c r="I23" s="48"/>
    </row>
    <row r="24" customFormat="false" ht="13.5" hidden="false" customHeight="true" outlineLevel="0" collapsed="false">
      <c r="A24" s="11" t="s">
        <v>72</v>
      </c>
      <c r="B24" s="44" t="n">
        <v>12</v>
      </c>
      <c r="C24" s="44" t="n">
        <v>17</v>
      </c>
      <c r="D24" s="12" t="n">
        <v>7000</v>
      </c>
      <c r="E24" s="12" t="n">
        <v>119000</v>
      </c>
      <c r="F24" s="44" t="n">
        <v>12</v>
      </c>
      <c r="G24" s="12" t="n">
        <v>119000</v>
      </c>
      <c r="H24" s="9" t="s">
        <v>12</v>
      </c>
      <c r="I24" s="49"/>
    </row>
    <row r="25" customFormat="false" ht="13.5" hidden="false" customHeight="true" outlineLevel="0" collapsed="false">
      <c r="A25" s="40" t="s">
        <v>73</v>
      </c>
      <c r="B25" s="41" t="n">
        <v>9</v>
      </c>
      <c r="C25" s="41" t="n">
        <v>15</v>
      </c>
      <c r="D25" s="42" t="n">
        <v>7000</v>
      </c>
      <c r="E25" s="42" t="n">
        <v>105000</v>
      </c>
      <c r="F25" s="41" t="n">
        <v>9</v>
      </c>
      <c r="G25" s="42" t="n">
        <v>105000</v>
      </c>
      <c r="H25" s="9" t="s">
        <v>12</v>
      </c>
      <c r="I25" s="48"/>
    </row>
    <row r="26" customFormat="false" ht="15.75" hidden="false" customHeight="true" outlineLevel="0" collapsed="false">
      <c r="A26" s="46" t="s">
        <v>62</v>
      </c>
      <c r="B26" s="47" t="n">
        <f aca="false">SUM(B21:B25)</f>
        <v>54</v>
      </c>
      <c r="C26" s="47" t="n">
        <f aca="false">SUM(C21:C25)</f>
        <v>86</v>
      </c>
      <c r="E26" s="47" t="n">
        <f aca="false">SUM(E21:E25)</f>
        <v>619000</v>
      </c>
      <c r="F26" s="47" t="n">
        <f aca="false">SUM(F21:F25)</f>
        <v>54</v>
      </c>
      <c r="G26" s="47" t="n">
        <f aca="false">SUM(G21:G25)</f>
        <v>619000</v>
      </c>
      <c r="H26" s="9" t="s">
        <v>12</v>
      </c>
    </row>
    <row r="28" customFormat="false" ht="15.75" hidden="false" customHeight="true" outlineLevel="0" collapsed="false">
      <c r="A28" s="5" t="s">
        <v>74</v>
      </c>
      <c r="B28" s="5"/>
      <c r="C28" s="5"/>
      <c r="D28" s="5"/>
      <c r="E28" s="5"/>
      <c r="F28" s="5"/>
      <c r="G28" s="5"/>
      <c r="H28" s="5"/>
      <c r="I28" s="5"/>
    </row>
    <row r="29" customFormat="false" ht="30" hidden="false" customHeight="true" outlineLevel="0" collapsed="false">
      <c r="A29" s="3" t="s">
        <v>75</v>
      </c>
      <c r="B29" s="3" t="s">
        <v>76</v>
      </c>
      <c r="C29" s="3" t="s">
        <v>77</v>
      </c>
      <c r="D29" s="3" t="s">
        <v>78</v>
      </c>
      <c r="E29" s="3" t="s">
        <v>79</v>
      </c>
      <c r="F29" s="4" t="s">
        <v>76</v>
      </c>
      <c r="G29" s="4" t="s">
        <v>68</v>
      </c>
      <c r="H29" s="3" t="s">
        <v>7</v>
      </c>
      <c r="I29" s="3" t="s">
        <v>8</v>
      </c>
    </row>
    <row r="30" customFormat="false" ht="13.5" hidden="false" customHeight="true" outlineLevel="0" collapsed="false">
      <c r="A30" s="40" t="s">
        <v>80</v>
      </c>
      <c r="B30" s="41" t="n">
        <v>6</v>
      </c>
      <c r="C30" s="41" t="n">
        <v>550</v>
      </c>
      <c r="D30" s="42" t="n">
        <v>120833.333333333</v>
      </c>
      <c r="E30" s="42" t="n">
        <v>725000</v>
      </c>
      <c r="F30" s="41" t="n">
        <v>6</v>
      </c>
      <c r="G30" s="42" t="n">
        <v>725000</v>
      </c>
      <c r="H30" s="9" t="s">
        <v>12</v>
      </c>
      <c r="I30" s="48"/>
    </row>
    <row r="31" customFormat="false" ht="13.5" hidden="false" customHeight="true" outlineLevel="0" collapsed="false">
      <c r="A31" s="11" t="s">
        <v>81</v>
      </c>
      <c r="B31" s="44" t="n">
        <v>7</v>
      </c>
      <c r="C31" s="44" t="n">
        <v>425</v>
      </c>
      <c r="D31" s="12" t="n">
        <v>53571.4285714286</v>
      </c>
      <c r="E31" s="12" t="n">
        <v>375000</v>
      </c>
      <c r="F31" s="44" t="n">
        <v>7</v>
      </c>
      <c r="G31" s="12" t="n">
        <v>375000</v>
      </c>
      <c r="H31" s="9" t="s">
        <v>12</v>
      </c>
      <c r="I31" s="49"/>
    </row>
    <row r="32" customFormat="false" ht="13.5" hidden="false" customHeight="true" outlineLevel="0" collapsed="false">
      <c r="A32" s="40" t="s">
        <v>82</v>
      </c>
      <c r="B32" s="41" t="n">
        <v>3</v>
      </c>
      <c r="C32" s="41" t="n">
        <v>53</v>
      </c>
      <c r="D32" s="42" t="n">
        <v>65000</v>
      </c>
      <c r="E32" s="42" t="n">
        <v>195000</v>
      </c>
      <c r="F32" s="41" t="n">
        <v>3</v>
      </c>
      <c r="G32" s="42" t="n">
        <v>195000</v>
      </c>
      <c r="H32" s="9" t="s">
        <v>12</v>
      </c>
      <c r="I32" s="48"/>
    </row>
    <row r="33" customFormat="false" ht="13.5" hidden="false" customHeight="true" outlineLevel="0" collapsed="false">
      <c r="A33" s="11" t="s">
        <v>83</v>
      </c>
      <c r="B33" s="44" t="n">
        <v>4</v>
      </c>
      <c r="C33" s="44" t="n">
        <v>220</v>
      </c>
      <c r="D33" s="12" t="n">
        <v>46250</v>
      </c>
      <c r="E33" s="12" t="n">
        <v>185000</v>
      </c>
      <c r="F33" s="44" t="n">
        <v>4</v>
      </c>
      <c r="G33" s="12" t="n">
        <v>185000</v>
      </c>
      <c r="H33" s="9" t="s">
        <v>12</v>
      </c>
      <c r="I33" s="49"/>
    </row>
    <row r="34" customFormat="false" ht="13.5" hidden="false" customHeight="true" outlineLevel="0" collapsed="false">
      <c r="A34" s="40" t="s">
        <v>84</v>
      </c>
      <c r="B34" s="41" t="n">
        <v>1</v>
      </c>
      <c r="C34" s="41" t="n">
        <v>30</v>
      </c>
      <c r="D34" s="42" t="n">
        <v>65000</v>
      </c>
      <c r="E34" s="42" t="n">
        <v>65000</v>
      </c>
      <c r="F34" s="41" t="n">
        <v>1</v>
      </c>
      <c r="G34" s="42" t="n">
        <v>65000</v>
      </c>
      <c r="H34" s="9" t="s">
        <v>12</v>
      </c>
      <c r="I34" s="48"/>
    </row>
    <row r="35" customFormat="false" ht="13.5" hidden="false" customHeight="true" outlineLevel="0" collapsed="false">
      <c r="A35" s="11" t="s">
        <v>85</v>
      </c>
      <c r="B35" s="44" t="n">
        <v>1</v>
      </c>
      <c r="C35" s="44" t="n">
        <v>90</v>
      </c>
      <c r="D35" s="12" t="n">
        <v>60000</v>
      </c>
      <c r="E35" s="12" t="n">
        <v>60000</v>
      </c>
      <c r="F35" s="44" t="n">
        <v>1</v>
      </c>
      <c r="G35" s="12" t="n">
        <v>60000</v>
      </c>
      <c r="H35" s="9" t="s">
        <v>12</v>
      </c>
      <c r="I35" s="49"/>
    </row>
    <row r="36" customFormat="false" ht="13.5" hidden="false" customHeight="true" outlineLevel="0" collapsed="false">
      <c r="A36" s="40" t="s">
        <v>86</v>
      </c>
      <c r="B36" s="41" t="n">
        <v>2</v>
      </c>
      <c r="C36" s="41" t="n">
        <v>60</v>
      </c>
      <c r="D36" s="42" t="n">
        <v>29000</v>
      </c>
      <c r="E36" s="42" t="n">
        <v>58000</v>
      </c>
      <c r="F36" s="41" t="n">
        <v>2</v>
      </c>
      <c r="G36" s="42" t="n">
        <v>58000</v>
      </c>
      <c r="H36" s="9" t="s">
        <v>12</v>
      </c>
      <c r="I36" s="48"/>
    </row>
    <row r="37" customFormat="false" ht="13.5" hidden="false" customHeight="true" outlineLevel="0" collapsed="false">
      <c r="A37" s="11" t="s">
        <v>87</v>
      </c>
      <c r="B37" s="44" t="n">
        <v>1</v>
      </c>
      <c r="C37" s="44" t="n">
        <v>30</v>
      </c>
      <c r="D37" s="12" t="n">
        <v>35000</v>
      </c>
      <c r="E37" s="12" t="n">
        <v>35000</v>
      </c>
      <c r="F37" s="44" t="n">
        <v>1</v>
      </c>
      <c r="G37" s="12" t="n">
        <v>35000</v>
      </c>
      <c r="H37" s="9" t="s">
        <v>12</v>
      </c>
      <c r="I37" s="49"/>
    </row>
    <row r="38" customFormat="false" ht="15.75" hidden="false" customHeight="true" outlineLevel="0" collapsed="false">
      <c r="A38" s="46" t="s">
        <v>62</v>
      </c>
      <c r="B38" s="47" t="n">
        <f aca="false">SUM(B30:B37)</f>
        <v>25</v>
      </c>
      <c r="E38" s="47" t="n">
        <f aca="false">SUM(E30:E37)</f>
        <v>1698000</v>
      </c>
      <c r="F38" s="47" t="n">
        <f aca="false">SUM(F30:F37)</f>
        <v>25</v>
      </c>
      <c r="G38" s="47" t="n">
        <f aca="false">SUM(G30:G37)</f>
        <v>1698000</v>
      </c>
      <c r="H38" s="9" t="s">
        <v>12</v>
      </c>
    </row>
    <row r="40" customFormat="false" ht="15.75" hidden="false" customHeight="true" outlineLevel="0" collapsed="false">
      <c r="A40" s="5" t="s">
        <v>88</v>
      </c>
      <c r="B40" s="5"/>
      <c r="C40" s="5"/>
      <c r="D40" s="5"/>
      <c r="E40" s="5"/>
      <c r="F40" s="5"/>
      <c r="G40" s="5"/>
      <c r="H40" s="5"/>
      <c r="I40" s="5"/>
    </row>
    <row r="41" customFormat="false" ht="30" hidden="false" customHeight="true" outlineLevel="0" collapsed="false">
      <c r="A41" s="3" t="s">
        <v>44</v>
      </c>
      <c r="B41" s="3" t="s">
        <v>89</v>
      </c>
      <c r="C41" s="3" t="s">
        <v>90</v>
      </c>
      <c r="D41" s="3" t="s">
        <v>91</v>
      </c>
      <c r="E41" s="3" t="s">
        <v>68</v>
      </c>
      <c r="F41" s="4" t="s">
        <v>45</v>
      </c>
      <c r="G41" s="4" t="s">
        <v>68</v>
      </c>
      <c r="H41" s="3" t="s">
        <v>7</v>
      </c>
      <c r="I41" s="3" t="s">
        <v>8</v>
      </c>
    </row>
    <row r="42" customFormat="false" ht="13.5" hidden="false" customHeight="true" outlineLevel="0" collapsed="false">
      <c r="A42" s="40" t="s">
        <v>49</v>
      </c>
      <c r="B42" s="41" t="n">
        <v>11</v>
      </c>
      <c r="C42" s="41" t="n">
        <v>51</v>
      </c>
      <c r="D42" s="42" t="n">
        <v>348.181818181818</v>
      </c>
      <c r="E42" s="42" t="n">
        <v>17670</v>
      </c>
      <c r="F42" s="41" t="n">
        <v>11</v>
      </c>
      <c r="G42" s="42" t="n">
        <v>17670</v>
      </c>
      <c r="H42" s="9" t="s">
        <v>12</v>
      </c>
      <c r="I42" s="48"/>
    </row>
    <row r="43" customFormat="false" ht="13.5" hidden="false" customHeight="true" outlineLevel="0" collapsed="false">
      <c r="A43" s="11" t="s">
        <v>51</v>
      </c>
      <c r="B43" s="44" t="n">
        <v>10</v>
      </c>
      <c r="C43" s="44" t="n">
        <v>36</v>
      </c>
      <c r="D43" s="12" t="n">
        <v>350</v>
      </c>
      <c r="E43" s="12" t="n">
        <v>12595</v>
      </c>
      <c r="F43" s="44" t="n">
        <v>10</v>
      </c>
      <c r="G43" s="12" t="n">
        <v>12595</v>
      </c>
      <c r="H43" s="9" t="s">
        <v>12</v>
      </c>
      <c r="I43" s="49"/>
    </row>
    <row r="44" customFormat="false" ht="13.5" hidden="false" customHeight="true" outlineLevel="0" collapsed="false">
      <c r="A44" s="40" t="s">
        <v>52</v>
      </c>
      <c r="B44" s="41" t="n">
        <v>9</v>
      </c>
      <c r="C44" s="41" t="n">
        <v>35</v>
      </c>
      <c r="D44" s="42" t="n">
        <v>347.777777777778</v>
      </c>
      <c r="E44" s="42" t="n">
        <v>12085</v>
      </c>
      <c r="F44" s="41" t="n">
        <v>9</v>
      </c>
      <c r="G44" s="42" t="n">
        <v>12085</v>
      </c>
      <c r="H44" s="9" t="s">
        <v>12</v>
      </c>
      <c r="I44" s="48"/>
    </row>
    <row r="45" customFormat="false" ht="13.5" hidden="false" customHeight="true" outlineLevel="0" collapsed="false">
      <c r="A45" s="11" t="s">
        <v>53</v>
      </c>
      <c r="B45" s="44" t="n">
        <v>8</v>
      </c>
      <c r="C45" s="44" t="n">
        <v>33</v>
      </c>
      <c r="D45" s="12" t="n">
        <v>340.625</v>
      </c>
      <c r="E45" s="12" t="n">
        <v>11270</v>
      </c>
      <c r="F45" s="44" t="n">
        <v>8</v>
      </c>
      <c r="G45" s="12" t="n">
        <v>11270</v>
      </c>
      <c r="H45" s="9" t="s">
        <v>12</v>
      </c>
      <c r="I45" s="49"/>
    </row>
    <row r="46" customFormat="false" ht="13.5" hidden="false" customHeight="true" outlineLevel="0" collapsed="false">
      <c r="A46" s="40" t="s">
        <v>54</v>
      </c>
      <c r="B46" s="41" t="n">
        <v>9</v>
      </c>
      <c r="C46" s="41" t="n">
        <v>30</v>
      </c>
      <c r="D46" s="42" t="n">
        <v>337.777777777778</v>
      </c>
      <c r="E46" s="42" t="n">
        <v>10100</v>
      </c>
      <c r="F46" s="41" t="n">
        <v>9</v>
      </c>
      <c r="G46" s="42" t="n">
        <v>10100</v>
      </c>
      <c r="H46" s="9" t="s">
        <v>12</v>
      </c>
      <c r="I46" s="48"/>
    </row>
    <row r="47" customFormat="false" ht="13.5" hidden="false" customHeight="true" outlineLevel="0" collapsed="false">
      <c r="A47" s="11" t="s">
        <v>55</v>
      </c>
      <c r="B47" s="44" t="n">
        <v>13</v>
      </c>
      <c r="C47" s="44" t="n">
        <v>47</v>
      </c>
      <c r="D47" s="12" t="n">
        <v>341.153846153846</v>
      </c>
      <c r="E47" s="12" t="n">
        <v>15925</v>
      </c>
      <c r="F47" s="44" t="n">
        <v>13</v>
      </c>
      <c r="G47" s="12" t="n">
        <v>15925</v>
      </c>
      <c r="H47" s="9" t="s">
        <v>12</v>
      </c>
      <c r="I47" s="49"/>
    </row>
    <row r="48" customFormat="false" ht="13.5" hidden="false" customHeight="true" outlineLevel="0" collapsed="false">
      <c r="A48" s="40" t="s">
        <v>56</v>
      </c>
      <c r="B48" s="41" t="n">
        <v>7</v>
      </c>
      <c r="C48" s="41" t="n">
        <v>30</v>
      </c>
      <c r="D48" s="42" t="n">
        <v>355</v>
      </c>
      <c r="E48" s="42" t="n">
        <v>10635</v>
      </c>
      <c r="F48" s="41" t="n">
        <v>7</v>
      </c>
      <c r="G48" s="42" t="n">
        <v>10635</v>
      </c>
      <c r="H48" s="9" t="s">
        <v>12</v>
      </c>
      <c r="I48" s="48"/>
    </row>
    <row r="49" customFormat="false" ht="13.5" hidden="false" customHeight="true" outlineLevel="0" collapsed="false">
      <c r="A49" s="11" t="s">
        <v>57</v>
      </c>
      <c r="B49" s="44" t="n">
        <v>6</v>
      </c>
      <c r="C49" s="44" t="n">
        <v>22</v>
      </c>
      <c r="D49" s="12" t="n">
        <v>351.666666666667</v>
      </c>
      <c r="E49" s="12" t="n">
        <v>7760</v>
      </c>
      <c r="F49" s="44" t="n">
        <v>6</v>
      </c>
      <c r="G49" s="12" t="n">
        <v>7760</v>
      </c>
      <c r="H49" s="9" t="s">
        <v>12</v>
      </c>
      <c r="I49" s="49"/>
    </row>
    <row r="50" customFormat="false" ht="13.5" hidden="false" customHeight="true" outlineLevel="0" collapsed="false">
      <c r="A50" s="40" t="s">
        <v>58</v>
      </c>
      <c r="B50" s="41" t="n">
        <v>9</v>
      </c>
      <c r="C50" s="41" t="n">
        <v>36</v>
      </c>
      <c r="D50" s="42" t="n">
        <v>367.222222222222</v>
      </c>
      <c r="E50" s="42" t="n">
        <v>13245</v>
      </c>
      <c r="F50" s="41" t="n">
        <v>9</v>
      </c>
      <c r="G50" s="42" t="n">
        <v>13245</v>
      </c>
      <c r="H50" s="9" t="s">
        <v>12</v>
      </c>
      <c r="I50" s="48"/>
    </row>
    <row r="51" customFormat="false" ht="13.5" hidden="false" customHeight="true" outlineLevel="0" collapsed="false">
      <c r="A51" s="11" t="s">
        <v>59</v>
      </c>
      <c r="B51" s="44" t="n">
        <v>9</v>
      </c>
      <c r="C51" s="44" t="n">
        <v>21</v>
      </c>
      <c r="D51" s="12" t="n">
        <v>370</v>
      </c>
      <c r="E51" s="12" t="n">
        <v>7700</v>
      </c>
      <c r="F51" s="44" t="n">
        <v>9</v>
      </c>
      <c r="G51" s="12" t="n">
        <v>7700</v>
      </c>
      <c r="H51" s="9" t="s">
        <v>12</v>
      </c>
      <c r="I51" s="49"/>
    </row>
    <row r="52" customFormat="false" ht="13.5" hidden="false" customHeight="true" outlineLevel="0" collapsed="false">
      <c r="A52" s="40" t="s">
        <v>60</v>
      </c>
      <c r="B52" s="41" t="n">
        <v>9</v>
      </c>
      <c r="C52" s="41" t="n">
        <v>42</v>
      </c>
      <c r="D52" s="42" t="n">
        <v>367.222222222222</v>
      </c>
      <c r="E52" s="42" t="n">
        <v>15395</v>
      </c>
      <c r="F52" s="41" t="n">
        <v>9</v>
      </c>
      <c r="G52" s="42" t="n">
        <v>15395</v>
      </c>
      <c r="H52" s="9" t="s">
        <v>12</v>
      </c>
      <c r="I52" s="48"/>
    </row>
    <row r="53" customFormat="false" ht="13.5" hidden="false" customHeight="true" outlineLevel="0" collapsed="false">
      <c r="A53" s="11" t="s">
        <v>61</v>
      </c>
      <c r="B53" s="44" t="n">
        <v>3</v>
      </c>
      <c r="C53" s="44" t="n">
        <v>7</v>
      </c>
      <c r="D53" s="12" t="n">
        <v>350</v>
      </c>
      <c r="E53" s="12" t="n">
        <v>2460</v>
      </c>
      <c r="F53" s="44" t="n">
        <v>3</v>
      </c>
      <c r="G53" s="12" t="n">
        <v>2460</v>
      </c>
      <c r="H53" s="9" t="s">
        <v>12</v>
      </c>
      <c r="I53" s="49"/>
    </row>
    <row r="54" customFormat="false" ht="15.75" hidden="false" customHeight="true" outlineLevel="0" collapsed="false">
      <c r="A54" s="46" t="s">
        <v>62</v>
      </c>
      <c r="B54" s="47" t="n">
        <f aca="false">SUM(B42:B53)</f>
        <v>103</v>
      </c>
      <c r="C54" s="47" t="n">
        <f aca="false">SUM(C42:C53)</f>
        <v>390</v>
      </c>
      <c r="E54" s="47" t="n">
        <f aca="false">SUM(E42:E53)</f>
        <v>136840</v>
      </c>
      <c r="F54" s="47" t="n">
        <f aca="false">SUM(F42:F53)</f>
        <v>103</v>
      </c>
      <c r="G54" s="47" t="n">
        <f aca="false">SUM(G42:G53)</f>
        <v>136840</v>
      </c>
      <c r="H54" s="9" t="s">
        <v>12</v>
      </c>
    </row>
  </sheetData>
  <mergeCells count="6">
    <mergeCell ref="A1:I1"/>
    <mergeCell ref="A2:I2"/>
    <mergeCell ref="A3:I3"/>
    <mergeCell ref="A19:I19"/>
    <mergeCell ref="A28:I28"/>
    <mergeCell ref="A40:I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40"/>
    <col collapsed="false" customWidth="true" hidden="false" outlineLevel="0" max="8" min="8" style="0" width="8"/>
  </cols>
  <sheetData>
    <row r="1" customFormat="false" ht="27.75" hidden="false" customHeight="true" outlineLevel="0" collapsed="false">
      <c r="A1" s="1" t="s">
        <v>92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93</v>
      </c>
      <c r="B2" s="2"/>
      <c r="C2" s="2"/>
      <c r="D2" s="2"/>
      <c r="E2" s="2"/>
      <c r="F2" s="2"/>
      <c r="G2" s="2"/>
      <c r="H2" s="2"/>
    </row>
    <row r="3" customFormat="false" ht="15.75" hidden="false" customHeight="true" outlineLevel="0" collapsed="false">
      <c r="A3" s="5" t="s">
        <v>94</v>
      </c>
      <c r="B3" s="5"/>
      <c r="C3" s="5"/>
      <c r="D3" s="5"/>
      <c r="E3" s="5"/>
      <c r="F3" s="5"/>
      <c r="G3" s="5"/>
      <c r="H3" s="5"/>
    </row>
    <row r="4" customFormat="false" ht="30" hidden="false" customHeight="true" outlineLevel="0" collapsed="false">
      <c r="A4" s="3" t="s">
        <v>95</v>
      </c>
      <c r="B4" s="3" t="s">
        <v>96</v>
      </c>
      <c r="C4" s="3" t="s">
        <v>48</v>
      </c>
      <c r="D4" s="3" t="s">
        <v>97</v>
      </c>
      <c r="E4" s="4" t="s">
        <v>98</v>
      </c>
      <c r="F4" s="3" t="s">
        <v>7</v>
      </c>
      <c r="G4" s="3" t="s">
        <v>99</v>
      </c>
      <c r="H4" s="3" t="s">
        <v>8</v>
      </c>
    </row>
    <row r="5" customFormat="false" ht="13.5" hidden="false" customHeight="true" outlineLevel="0" collapsed="false">
      <c r="A5" s="40" t="s">
        <v>100</v>
      </c>
      <c r="B5" s="41" t="n">
        <v>53</v>
      </c>
      <c r="C5" s="42" t="n">
        <v>809250</v>
      </c>
      <c r="D5" s="50" t="n">
        <v>0.18545989815003</v>
      </c>
      <c r="E5" s="41" t="n">
        <v>53</v>
      </c>
      <c r="F5" s="9" t="s">
        <v>12</v>
      </c>
      <c r="G5" s="43" t="s">
        <v>101</v>
      </c>
      <c r="H5" s="48"/>
    </row>
    <row r="6" customFormat="false" ht="13.5" hidden="false" customHeight="true" outlineLevel="0" collapsed="false">
      <c r="A6" s="11" t="s">
        <v>102</v>
      </c>
      <c r="B6" s="44" t="n">
        <v>25</v>
      </c>
      <c r="C6" s="12" t="n">
        <v>576000</v>
      </c>
      <c r="D6" s="51" t="n">
        <v>0.132004820926064</v>
      </c>
      <c r="E6" s="44" t="n">
        <v>25</v>
      </c>
      <c r="F6" s="9" t="s">
        <v>12</v>
      </c>
      <c r="G6" s="45" t="s">
        <v>103</v>
      </c>
      <c r="H6" s="49"/>
    </row>
    <row r="7" customFormat="false" ht="13.5" hidden="false" customHeight="true" outlineLevel="0" collapsed="false">
      <c r="A7" s="40" t="s">
        <v>104</v>
      </c>
      <c r="B7" s="41" t="n">
        <v>6</v>
      </c>
      <c r="C7" s="42" t="n">
        <v>465000</v>
      </c>
      <c r="D7" s="50" t="n">
        <v>0.106566391893437</v>
      </c>
      <c r="E7" s="41" t="n">
        <v>6</v>
      </c>
      <c r="F7" s="9" t="s">
        <v>12</v>
      </c>
      <c r="G7" s="43" t="s">
        <v>105</v>
      </c>
      <c r="H7" s="48"/>
    </row>
    <row r="8" customFormat="false" ht="13.5" hidden="false" customHeight="true" outlineLevel="0" collapsed="false">
      <c r="A8" s="11" t="s">
        <v>106</v>
      </c>
      <c r="B8" s="44" t="n">
        <v>23</v>
      </c>
      <c r="C8" s="12" t="n">
        <v>358627</v>
      </c>
      <c r="D8" s="51" t="n">
        <v>0.0821883557539091</v>
      </c>
      <c r="E8" s="44" t="n">
        <v>23</v>
      </c>
      <c r="F8" s="9" t="s">
        <v>12</v>
      </c>
      <c r="G8" s="45" t="s">
        <v>107</v>
      </c>
      <c r="H8" s="49"/>
    </row>
    <row r="9" customFormat="false" ht="13.5" hidden="false" customHeight="true" outlineLevel="0" collapsed="false">
      <c r="A9" s="40" t="s">
        <v>108</v>
      </c>
      <c r="B9" s="41" t="n">
        <v>40</v>
      </c>
      <c r="C9" s="42" t="n">
        <v>330000</v>
      </c>
      <c r="D9" s="50" t="n">
        <v>0.075627761988891</v>
      </c>
      <c r="E9" s="41" t="n">
        <v>40</v>
      </c>
      <c r="F9" s="9" t="s">
        <v>12</v>
      </c>
      <c r="G9" s="43" t="s">
        <v>109</v>
      </c>
      <c r="H9" s="48"/>
    </row>
    <row r="10" customFormat="false" ht="13.5" hidden="false" customHeight="true" outlineLevel="0" collapsed="false">
      <c r="A10" s="11" t="s">
        <v>110</v>
      </c>
      <c r="B10" s="44" t="n">
        <v>167</v>
      </c>
      <c r="C10" s="12" t="n">
        <v>250500</v>
      </c>
      <c r="D10" s="51" t="n">
        <v>0.0574083466006582</v>
      </c>
      <c r="E10" s="44" t="n">
        <v>167</v>
      </c>
      <c r="F10" s="9" t="s">
        <v>12</v>
      </c>
      <c r="G10" s="45" t="s">
        <v>111</v>
      </c>
      <c r="H10" s="49"/>
    </row>
    <row r="11" customFormat="false" ht="13.5" hidden="false" customHeight="true" outlineLevel="0" collapsed="false">
      <c r="A11" s="40" t="s">
        <v>112</v>
      </c>
      <c r="B11" s="41" t="n">
        <v>25</v>
      </c>
      <c r="C11" s="42" t="n">
        <v>184396</v>
      </c>
      <c r="D11" s="50" t="n">
        <v>0.0422589599991016</v>
      </c>
      <c r="E11" s="41" t="n">
        <v>25</v>
      </c>
      <c r="F11" s="9" t="s">
        <v>12</v>
      </c>
      <c r="G11" s="43" t="s">
        <v>113</v>
      </c>
      <c r="H11" s="48"/>
    </row>
    <row r="12" customFormat="false" ht="13.5" hidden="false" customHeight="true" outlineLevel="0" collapsed="false">
      <c r="A12" s="11" t="s">
        <v>114</v>
      </c>
      <c r="B12" s="44" t="n">
        <v>119</v>
      </c>
      <c r="C12" s="12" t="n">
        <v>178500</v>
      </c>
      <c r="D12" s="51" t="n">
        <v>0.0409077439849001</v>
      </c>
      <c r="E12" s="44" t="n">
        <v>119</v>
      </c>
      <c r="F12" s="9" t="s">
        <v>12</v>
      </c>
      <c r="G12" s="45" t="s">
        <v>115</v>
      </c>
      <c r="H12" s="49"/>
    </row>
    <row r="13" customFormat="false" ht="13.5" hidden="false" customHeight="true" outlineLevel="0" collapsed="false">
      <c r="A13" s="40" t="s">
        <v>116</v>
      </c>
      <c r="B13" s="41" t="n">
        <v>14</v>
      </c>
      <c r="C13" s="42" t="n">
        <v>168000</v>
      </c>
      <c r="D13" s="50" t="n">
        <v>0.0385014061034354</v>
      </c>
      <c r="E13" s="41" t="n">
        <v>14</v>
      </c>
      <c r="F13" s="9" t="s">
        <v>12</v>
      </c>
      <c r="G13" s="43" t="s">
        <v>117</v>
      </c>
      <c r="H13" s="48"/>
    </row>
    <row r="14" customFormat="false" ht="13.5" hidden="false" customHeight="true" outlineLevel="0" collapsed="false">
      <c r="A14" s="11" t="s">
        <v>118</v>
      </c>
      <c r="B14" s="44" t="n">
        <v>27</v>
      </c>
      <c r="C14" s="12" t="n">
        <v>105500</v>
      </c>
      <c r="D14" s="51" t="n">
        <v>0.0241779663328121</v>
      </c>
      <c r="E14" s="44" t="n">
        <v>27</v>
      </c>
      <c r="F14" s="9" t="s">
        <v>12</v>
      </c>
      <c r="G14" s="45" t="s">
        <v>119</v>
      </c>
      <c r="H14" s="49"/>
    </row>
    <row r="15" customFormat="false" ht="13.5" hidden="false" customHeight="true" outlineLevel="0" collapsed="false">
      <c r="A15" s="40" t="s">
        <v>120</v>
      </c>
      <c r="B15" s="41" t="n">
        <v>1</v>
      </c>
      <c r="C15" s="42" t="n">
        <v>100000</v>
      </c>
      <c r="D15" s="50" t="n">
        <v>0.0229175036329973</v>
      </c>
      <c r="E15" s="41" t="n">
        <v>1</v>
      </c>
      <c r="F15" s="9" t="s">
        <v>12</v>
      </c>
      <c r="G15" s="43" t="s">
        <v>121</v>
      </c>
      <c r="H15" s="48"/>
    </row>
    <row r="16" customFormat="false" ht="13.5" hidden="false" customHeight="true" outlineLevel="0" collapsed="false">
      <c r="A16" s="11" t="s">
        <v>122</v>
      </c>
      <c r="B16" s="44" t="n">
        <v>11</v>
      </c>
      <c r="C16" s="12" t="n">
        <v>99500</v>
      </c>
      <c r="D16" s="51" t="n">
        <v>0.0228029161148323</v>
      </c>
      <c r="E16" s="44" t="n">
        <v>11</v>
      </c>
      <c r="F16" s="9" t="s">
        <v>12</v>
      </c>
      <c r="G16" s="45" t="s">
        <v>123</v>
      </c>
      <c r="H16" s="49"/>
    </row>
    <row r="17" customFormat="false" ht="13.5" hidden="false" customHeight="true" outlineLevel="0" collapsed="false">
      <c r="A17" s="40" t="s">
        <v>124</v>
      </c>
      <c r="B17" s="41" t="n">
        <v>8</v>
      </c>
      <c r="C17" s="42" t="n">
        <v>99000</v>
      </c>
      <c r="D17" s="50" t="n">
        <v>0.0226883285966673</v>
      </c>
      <c r="E17" s="41" t="n">
        <v>8</v>
      </c>
      <c r="F17" s="9" t="s">
        <v>12</v>
      </c>
      <c r="G17" s="43" t="s">
        <v>125</v>
      </c>
      <c r="H17" s="48"/>
    </row>
    <row r="18" customFormat="false" ht="13.5" hidden="false" customHeight="true" outlineLevel="0" collapsed="false">
      <c r="A18" s="11" t="s">
        <v>126</v>
      </c>
      <c r="B18" s="44" t="n">
        <v>13</v>
      </c>
      <c r="C18" s="12" t="n">
        <v>97364</v>
      </c>
      <c r="D18" s="51" t="n">
        <v>0.0223133982372315</v>
      </c>
      <c r="E18" s="44" t="n">
        <v>13</v>
      </c>
      <c r="F18" s="9" t="s">
        <v>12</v>
      </c>
      <c r="G18" s="45" t="s">
        <v>127</v>
      </c>
      <c r="H18" s="49"/>
    </row>
    <row r="19" customFormat="false" ht="13.5" hidden="false" customHeight="true" outlineLevel="0" collapsed="false">
      <c r="A19" s="40" t="s">
        <v>128</v>
      </c>
      <c r="B19" s="41" t="n">
        <v>2</v>
      </c>
      <c r="C19" s="42" t="n">
        <v>90000</v>
      </c>
      <c r="D19" s="50" t="n">
        <v>0.0206257532696975</v>
      </c>
      <c r="E19" s="41" t="n">
        <v>2</v>
      </c>
      <c r="F19" s="9" t="s">
        <v>12</v>
      </c>
      <c r="G19" s="43" t="s">
        <v>129</v>
      </c>
      <c r="H19" s="48"/>
    </row>
    <row r="20" customFormat="false" ht="13.5" hidden="false" customHeight="true" outlineLevel="0" collapsed="false">
      <c r="A20" s="11" t="s">
        <v>130</v>
      </c>
      <c r="B20" s="44" t="n">
        <v>57</v>
      </c>
      <c r="C20" s="12" t="n">
        <v>85500</v>
      </c>
      <c r="D20" s="51" t="n">
        <v>0.0195944656062127</v>
      </c>
      <c r="E20" s="44" t="n">
        <v>57</v>
      </c>
      <c r="F20" s="9" t="s">
        <v>12</v>
      </c>
      <c r="G20" s="45" t="s">
        <v>131</v>
      </c>
      <c r="H20" s="49"/>
    </row>
    <row r="21" customFormat="false" ht="13.5" hidden="false" customHeight="true" outlineLevel="0" collapsed="false">
      <c r="A21" s="40" t="s">
        <v>132</v>
      </c>
      <c r="B21" s="41" t="n">
        <v>17</v>
      </c>
      <c r="C21" s="42" t="n">
        <v>65500</v>
      </c>
      <c r="D21" s="50" t="n">
        <v>0.0150109648796132</v>
      </c>
      <c r="E21" s="41" t="n">
        <v>17</v>
      </c>
      <c r="F21" s="9" t="s">
        <v>12</v>
      </c>
      <c r="G21" s="43" t="s">
        <v>133</v>
      </c>
      <c r="H21" s="48"/>
    </row>
    <row r="22" customFormat="false" ht="13.5" hidden="false" customHeight="true" outlineLevel="0" collapsed="false">
      <c r="A22" s="11" t="s">
        <v>134</v>
      </c>
      <c r="B22" s="44" t="n">
        <v>14</v>
      </c>
      <c r="C22" s="12" t="n">
        <v>56676</v>
      </c>
      <c r="D22" s="51" t="n">
        <v>0.0129887243590375</v>
      </c>
      <c r="E22" s="44" t="n">
        <v>14</v>
      </c>
      <c r="F22" s="9" t="s">
        <v>12</v>
      </c>
      <c r="G22" s="45" t="s">
        <v>135</v>
      </c>
      <c r="H22" s="49"/>
    </row>
    <row r="23" customFormat="false" ht="13.5" hidden="false" customHeight="true" outlineLevel="0" collapsed="false">
      <c r="A23" s="40" t="s">
        <v>136</v>
      </c>
      <c r="B23" s="41" t="n">
        <v>7</v>
      </c>
      <c r="C23" s="42" t="n">
        <v>56000</v>
      </c>
      <c r="D23" s="50" t="n">
        <v>0.0128338020344785</v>
      </c>
      <c r="E23" s="41" t="n">
        <v>7</v>
      </c>
      <c r="F23" s="9" t="s">
        <v>12</v>
      </c>
      <c r="G23" s="43" t="s">
        <v>137</v>
      </c>
      <c r="H23" s="48"/>
    </row>
    <row r="24" customFormat="false" ht="13.5" hidden="false" customHeight="true" outlineLevel="0" collapsed="false">
      <c r="A24" s="11" t="s">
        <v>138</v>
      </c>
      <c r="B24" s="44" t="n">
        <v>13</v>
      </c>
      <c r="C24" s="12" t="n">
        <v>55164</v>
      </c>
      <c r="D24" s="51" t="n">
        <v>0.0126422117041066</v>
      </c>
      <c r="E24" s="44" t="n">
        <v>13</v>
      </c>
      <c r="F24" s="9" t="s">
        <v>12</v>
      </c>
      <c r="G24" s="45" t="s">
        <v>139</v>
      </c>
      <c r="H24" s="49"/>
    </row>
    <row r="25" customFormat="false" ht="13.5" hidden="false" customHeight="true" outlineLevel="0" collapsed="false">
      <c r="A25" s="40" t="s">
        <v>140</v>
      </c>
      <c r="B25" s="41" t="n">
        <v>34</v>
      </c>
      <c r="C25" s="42" t="n">
        <v>52000</v>
      </c>
      <c r="D25" s="50" t="n">
        <v>0.0119171018891586</v>
      </c>
      <c r="E25" s="41" t="n">
        <v>34</v>
      </c>
      <c r="F25" s="9" t="s">
        <v>12</v>
      </c>
      <c r="G25" s="43" t="s">
        <v>141</v>
      </c>
      <c r="H25" s="48"/>
    </row>
    <row r="26" customFormat="false" ht="13.5" hidden="false" customHeight="true" outlineLevel="0" collapsed="false">
      <c r="A26" s="11" t="s">
        <v>142</v>
      </c>
      <c r="B26" s="44" t="n">
        <v>20</v>
      </c>
      <c r="C26" s="12" t="n">
        <v>43000</v>
      </c>
      <c r="D26" s="51" t="n">
        <v>0.00985452656218882</v>
      </c>
      <c r="E26" s="44" t="n">
        <v>20</v>
      </c>
      <c r="F26" s="9" t="s">
        <v>12</v>
      </c>
      <c r="G26" s="45" t="s">
        <v>143</v>
      </c>
      <c r="H26" s="49"/>
    </row>
    <row r="27" customFormat="false" ht="13.5" hidden="false" customHeight="true" outlineLevel="0" collapsed="false">
      <c r="A27" s="40" t="s">
        <v>144</v>
      </c>
      <c r="B27" s="41" t="n">
        <v>2</v>
      </c>
      <c r="C27" s="42" t="n">
        <v>23000</v>
      </c>
      <c r="D27" s="50" t="n">
        <v>0.00527102583558937</v>
      </c>
      <c r="E27" s="41" t="n">
        <v>2</v>
      </c>
      <c r="F27" s="9" t="s">
        <v>12</v>
      </c>
      <c r="G27" s="43" t="s">
        <v>145</v>
      </c>
      <c r="H27" s="48"/>
    </row>
    <row r="28" customFormat="false" ht="13.5" hidden="false" customHeight="true" outlineLevel="0" collapsed="false">
      <c r="A28" s="11" t="s">
        <v>146</v>
      </c>
      <c r="B28" s="44" t="n">
        <v>11</v>
      </c>
      <c r="C28" s="12" t="n">
        <v>15000</v>
      </c>
      <c r="D28" s="51" t="n">
        <v>0.00343762554494959</v>
      </c>
      <c r="E28" s="44" t="n">
        <v>11</v>
      </c>
      <c r="F28" s="9" t="s">
        <v>12</v>
      </c>
      <c r="G28" s="45" t="s">
        <v>147</v>
      </c>
      <c r="H28" s="49"/>
    </row>
    <row r="29" customFormat="false" ht="15.75" hidden="false" customHeight="true" outlineLevel="0" collapsed="false">
      <c r="A29" s="46" t="s">
        <v>148</v>
      </c>
      <c r="B29" s="47" t="n">
        <f aca="false">SUM(B5:B28)</f>
        <v>709</v>
      </c>
      <c r="C29" s="47" t="n">
        <f aca="false">SUM(C5:C28)</f>
        <v>4363477</v>
      </c>
      <c r="D29" s="52" t="n">
        <f aca="false">SUM(D5:D28)</f>
        <v>1</v>
      </c>
      <c r="E29" s="47" t="n">
        <f aca="false">SUM(E5:E28)</f>
        <v>709</v>
      </c>
      <c r="F29" s="9" t="s">
        <v>12</v>
      </c>
    </row>
    <row r="31" customFormat="false" ht="15.75" hidden="false" customHeight="true" outlineLevel="0" collapsed="false">
      <c r="A31" s="5" t="s">
        <v>149</v>
      </c>
      <c r="B31" s="5"/>
      <c r="C31" s="5"/>
      <c r="D31" s="5"/>
      <c r="E31" s="5"/>
      <c r="F31" s="5"/>
      <c r="G31" s="5"/>
      <c r="H31" s="5"/>
    </row>
    <row r="32" customFormat="false" ht="30" hidden="false" customHeight="true" outlineLevel="0" collapsed="false">
      <c r="A32" s="3" t="s">
        <v>150</v>
      </c>
      <c r="B32" s="3" t="s">
        <v>151</v>
      </c>
      <c r="C32" s="3" t="s">
        <v>152</v>
      </c>
      <c r="D32" s="3" t="s">
        <v>153</v>
      </c>
      <c r="E32" s="3" t="s">
        <v>154</v>
      </c>
      <c r="F32" s="4" t="s">
        <v>155</v>
      </c>
      <c r="G32" s="3" t="s">
        <v>7</v>
      </c>
      <c r="H32" s="3" t="s">
        <v>8</v>
      </c>
    </row>
    <row r="33" customFormat="false" ht="13.5" hidden="false" customHeight="true" outlineLevel="0" collapsed="false">
      <c r="A33" s="40" t="s">
        <v>156</v>
      </c>
      <c r="B33" s="40" t="s">
        <v>157</v>
      </c>
      <c r="C33" s="40" t="s">
        <v>158</v>
      </c>
      <c r="D33" s="42" t="n">
        <v>2000000</v>
      </c>
      <c r="E33" s="40" t="s">
        <v>159</v>
      </c>
      <c r="F33" s="40" t="s">
        <v>160</v>
      </c>
      <c r="G33" s="9" t="s">
        <v>12</v>
      </c>
      <c r="H33" s="48"/>
    </row>
    <row r="34" customFormat="false" ht="13.5" hidden="false" customHeight="true" outlineLevel="0" collapsed="false">
      <c r="A34" s="11" t="s">
        <v>161</v>
      </c>
      <c r="B34" s="11" t="s">
        <v>157</v>
      </c>
      <c r="C34" s="11" t="s">
        <v>162</v>
      </c>
      <c r="D34" s="12" t="n">
        <v>1500000</v>
      </c>
      <c r="E34" s="11" t="s">
        <v>159</v>
      </c>
      <c r="F34" s="11" t="s">
        <v>160</v>
      </c>
      <c r="G34" s="9" t="s">
        <v>12</v>
      </c>
      <c r="H34" s="49"/>
    </row>
    <row r="35" customFormat="false" ht="13.5" hidden="false" customHeight="true" outlineLevel="0" collapsed="false">
      <c r="A35" s="40" t="s">
        <v>163</v>
      </c>
      <c r="B35" s="40" t="s">
        <v>157</v>
      </c>
      <c r="C35" s="40" t="s">
        <v>164</v>
      </c>
      <c r="D35" s="42" t="n">
        <v>500000</v>
      </c>
      <c r="E35" s="40" t="s">
        <v>159</v>
      </c>
      <c r="F35" s="40" t="s">
        <v>160</v>
      </c>
      <c r="G35" s="9" t="s">
        <v>12</v>
      </c>
      <c r="H35" s="48"/>
    </row>
    <row r="36" customFormat="false" ht="13.5" hidden="false" customHeight="true" outlineLevel="0" collapsed="false">
      <c r="A36" s="11" t="s">
        <v>165</v>
      </c>
      <c r="B36" s="11" t="s">
        <v>166</v>
      </c>
      <c r="C36" s="11" t="s">
        <v>167</v>
      </c>
      <c r="D36" s="12" t="n">
        <v>15000</v>
      </c>
      <c r="E36" s="11" t="s">
        <v>159</v>
      </c>
      <c r="F36" s="11" t="s">
        <v>160</v>
      </c>
      <c r="G36" s="9" t="s">
        <v>12</v>
      </c>
      <c r="H36" s="49"/>
    </row>
    <row r="37" customFormat="false" ht="13.5" hidden="false" customHeight="true" outlineLevel="0" collapsed="false">
      <c r="A37" s="40" t="s">
        <v>168</v>
      </c>
      <c r="B37" s="40" t="s">
        <v>166</v>
      </c>
      <c r="C37" s="40" t="s">
        <v>169</v>
      </c>
      <c r="D37" s="42" t="n">
        <v>10000</v>
      </c>
      <c r="E37" s="40" t="s">
        <v>159</v>
      </c>
      <c r="F37" s="40" t="s">
        <v>160</v>
      </c>
      <c r="G37" s="9" t="s">
        <v>12</v>
      </c>
      <c r="H37" s="48"/>
    </row>
    <row r="38" customFormat="false" ht="13.5" hidden="false" customHeight="true" outlineLevel="0" collapsed="false">
      <c r="A38" s="11" t="s">
        <v>170</v>
      </c>
      <c r="B38" s="11" t="s">
        <v>166</v>
      </c>
      <c r="C38" s="11" t="s">
        <v>171</v>
      </c>
      <c r="D38" s="12" t="n">
        <v>12000</v>
      </c>
      <c r="E38" s="11" t="s">
        <v>159</v>
      </c>
      <c r="F38" s="11" t="s">
        <v>160</v>
      </c>
      <c r="G38" s="9" t="s">
        <v>12</v>
      </c>
      <c r="H38" s="49"/>
    </row>
    <row r="39" customFormat="false" ht="13.5" hidden="false" customHeight="true" outlineLevel="0" collapsed="false">
      <c r="A39" s="40" t="s">
        <v>172</v>
      </c>
      <c r="B39" s="40" t="s">
        <v>166</v>
      </c>
      <c r="C39" s="40" t="s">
        <v>173</v>
      </c>
      <c r="D39" s="42" t="n">
        <v>10000</v>
      </c>
      <c r="E39" s="40" t="s">
        <v>159</v>
      </c>
      <c r="F39" s="40" t="s">
        <v>160</v>
      </c>
      <c r="G39" s="9" t="s">
        <v>12</v>
      </c>
      <c r="H39" s="48"/>
    </row>
    <row r="40" customFormat="false" ht="13.5" hidden="false" customHeight="true" outlineLevel="0" collapsed="false">
      <c r="A40" s="11" t="s">
        <v>174</v>
      </c>
      <c r="B40" s="11" t="s">
        <v>166</v>
      </c>
      <c r="C40" s="11" t="s">
        <v>175</v>
      </c>
      <c r="D40" s="12" t="n">
        <v>15000</v>
      </c>
      <c r="E40" s="11" t="s">
        <v>159</v>
      </c>
      <c r="F40" s="11" t="s">
        <v>160</v>
      </c>
      <c r="G40" s="9" t="s">
        <v>12</v>
      </c>
      <c r="H40" s="49"/>
    </row>
    <row r="41" customFormat="false" ht="13.5" hidden="false" customHeight="true" outlineLevel="0" collapsed="false">
      <c r="A41" s="40" t="s">
        <v>176</v>
      </c>
      <c r="B41" s="40" t="s">
        <v>166</v>
      </c>
      <c r="C41" s="40" t="s">
        <v>177</v>
      </c>
      <c r="D41" s="42" t="n">
        <v>10000</v>
      </c>
      <c r="E41" s="40" t="s">
        <v>159</v>
      </c>
      <c r="F41" s="40" t="s">
        <v>160</v>
      </c>
      <c r="G41" s="9" t="s">
        <v>12</v>
      </c>
      <c r="H41" s="48"/>
    </row>
    <row r="42" customFormat="false" ht="13.5" hidden="false" customHeight="true" outlineLevel="0" collapsed="false">
      <c r="A42" s="11" t="s">
        <v>178</v>
      </c>
      <c r="B42" s="11" t="s">
        <v>166</v>
      </c>
      <c r="C42" s="11" t="s">
        <v>179</v>
      </c>
      <c r="D42" s="12" t="n">
        <v>12000</v>
      </c>
      <c r="E42" s="11" t="s">
        <v>159</v>
      </c>
      <c r="F42" s="11" t="s">
        <v>160</v>
      </c>
      <c r="G42" s="9" t="s">
        <v>12</v>
      </c>
      <c r="H42" s="49"/>
    </row>
    <row r="43" customFormat="false" ht="13.5" hidden="false" customHeight="true" outlineLevel="0" collapsed="false">
      <c r="A43" s="40" t="s">
        <v>180</v>
      </c>
      <c r="B43" s="40" t="s">
        <v>166</v>
      </c>
      <c r="C43" s="40" t="s">
        <v>181</v>
      </c>
      <c r="D43" s="42" t="n">
        <v>12000</v>
      </c>
      <c r="E43" s="40" t="s">
        <v>159</v>
      </c>
      <c r="F43" s="40" t="s">
        <v>160</v>
      </c>
      <c r="G43" s="9" t="s">
        <v>12</v>
      </c>
      <c r="H43" s="48"/>
    </row>
    <row r="44" customFormat="false" ht="13.5" hidden="false" customHeight="true" outlineLevel="0" collapsed="false">
      <c r="A44" s="11" t="s">
        <v>182</v>
      </c>
      <c r="B44" s="11" t="s">
        <v>166</v>
      </c>
      <c r="C44" s="11" t="s">
        <v>183</v>
      </c>
      <c r="D44" s="12" t="n">
        <v>12000</v>
      </c>
      <c r="E44" s="11" t="s">
        <v>159</v>
      </c>
      <c r="F44" s="11" t="s">
        <v>160</v>
      </c>
      <c r="G44" s="9" t="s">
        <v>12</v>
      </c>
      <c r="H44" s="49"/>
    </row>
    <row r="45" customFormat="false" ht="13.5" hidden="false" customHeight="true" outlineLevel="0" collapsed="false">
      <c r="A45" s="40" t="s">
        <v>184</v>
      </c>
      <c r="B45" s="40" t="s">
        <v>166</v>
      </c>
      <c r="C45" s="40" t="s">
        <v>185</v>
      </c>
      <c r="D45" s="42" t="n">
        <v>25000</v>
      </c>
      <c r="E45" s="40" t="s">
        <v>159</v>
      </c>
      <c r="F45" s="40" t="s">
        <v>160</v>
      </c>
      <c r="G45" s="9" t="s">
        <v>12</v>
      </c>
      <c r="H45" s="48"/>
    </row>
    <row r="46" customFormat="false" ht="13.5" hidden="false" customHeight="true" outlineLevel="0" collapsed="false">
      <c r="A46" s="11" t="s">
        <v>186</v>
      </c>
      <c r="B46" s="11" t="s">
        <v>166</v>
      </c>
      <c r="C46" s="11" t="s">
        <v>187</v>
      </c>
      <c r="D46" s="12" t="n">
        <v>20000</v>
      </c>
      <c r="E46" s="11" t="s">
        <v>159</v>
      </c>
      <c r="F46" s="11" t="s">
        <v>160</v>
      </c>
      <c r="G46" s="9" t="s">
        <v>12</v>
      </c>
      <c r="H46" s="49"/>
    </row>
    <row r="47" customFormat="false" ht="13.5" hidden="false" customHeight="true" outlineLevel="0" collapsed="false">
      <c r="A47" s="40" t="s">
        <v>188</v>
      </c>
      <c r="B47" s="40" t="s">
        <v>166</v>
      </c>
      <c r="C47" s="40" t="s">
        <v>189</v>
      </c>
      <c r="D47" s="42" t="n">
        <v>18000</v>
      </c>
      <c r="E47" s="40" t="s">
        <v>159</v>
      </c>
      <c r="F47" s="40" t="s">
        <v>160</v>
      </c>
      <c r="G47" s="9" t="s">
        <v>12</v>
      </c>
      <c r="H47" s="48"/>
    </row>
    <row r="48" customFormat="false" ht="13.5" hidden="false" customHeight="true" outlineLevel="0" collapsed="false">
      <c r="A48" s="11" t="s">
        <v>190</v>
      </c>
      <c r="B48" s="11" t="s">
        <v>166</v>
      </c>
      <c r="C48" s="11" t="s">
        <v>191</v>
      </c>
      <c r="D48" s="12" t="n">
        <v>20000</v>
      </c>
      <c r="E48" s="11" t="s">
        <v>159</v>
      </c>
      <c r="F48" s="11" t="s">
        <v>160</v>
      </c>
      <c r="G48" s="9" t="s">
        <v>12</v>
      </c>
      <c r="H48" s="49"/>
    </row>
    <row r="49" customFormat="false" ht="13.5" hidden="false" customHeight="true" outlineLevel="0" collapsed="false">
      <c r="A49" s="40" t="s">
        <v>192</v>
      </c>
      <c r="B49" s="40" t="s">
        <v>166</v>
      </c>
      <c r="C49" s="40" t="s">
        <v>193</v>
      </c>
      <c r="D49" s="42" t="n">
        <v>18000</v>
      </c>
      <c r="E49" s="40" t="s">
        <v>159</v>
      </c>
      <c r="F49" s="40" t="s">
        <v>160</v>
      </c>
      <c r="G49" s="9" t="s">
        <v>12</v>
      </c>
      <c r="H49" s="48"/>
    </row>
    <row r="50" customFormat="false" ht="13.5" hidden="false" customHeight="true" outlineLevel="0" collapsed="false">
      <c r="A50" s="11" t="s">
        <v>194</v>
      </c>
      <c r="B50" s="11" t="s">
        <v>166</v>
      </c>
      <c r="C50" s="11" t="s">
        <v>195</v>
      </c>
      <c r="D50" s="12" t="n">
        <v>20000</v>
      </c>
      <c r="E50" s="11" t="s">
        <v>159</v>
      </c>
      <c r="F50" s="11" t="s">
        <v>160</v>
      </c>
      <c r="G50" s="9" t="s">
        <v>12</v>
      </c>
      <c r="H50" s="49"/>
    </row>
    <row r="52" customFormat="false" ht="15.75" hidden="false" customHeight="true" outlineLevel="0" collapsed="false">
      <c r="A52" s="5" t="s">
        <v>196</v>
      </c>
      <c r="B52" s="5"/>
      <c r="C52" s="5"/>
      <c r="D52" s="5"/>
      <c r="E52" s="5"/>
      <c r="F52" s="5"/>
      <c r="G52" s="5"/>
      <c r="H52" s="5"/>
    </row>
    <row r="53" customFormat="false" ht="30" hidden="false" customHeight="true" outlineLevel="0" collapsed="false">
      <c r="A53" s="3" t="s">
        <v>44</v>
      </c>
      <c r="B53" s="3" t="s">
        <v>96</v>
      </c>
      <c r="C53" s="3" t="s">
        <v>48</v>
      </c>
      <c r="D53" s="4" t="s">
        <v>98</v>
      </c>
      <c r="E53" s="3" t="s">
        <v>7</v>
      </c>
      <c r="F53" s="3" t="s">
        <v>197</v>
      </c>
      <c r="G53" s="3" t="s">
        <v>8</v>
      </c>
      <c r="H53" s="3"/>
    </row>
    <row r="54" customFormat="false" ht="13.5" hidden="false" customHeight="true" outlineLevel="0" collapsed="false">
      <c r="A54" s="40" t="s">
        <v>198</v>
      </c>
      <c r="B54" s="41" t="n">
        <v>29</v>
      </c>
      <c r="C54" s="42" t="n">
        <v>532609</v>
      </c>
      <c r="D54" s="41" t="n">
        <v>29</v>
      </c>
      <c r="E54" s="9" t="s">
        <v>12</v>
      </c>
      <c r="F54" s="42" t="n">
        <f aca="false">SUM(C54:C54)</f>
        <v>532609</v>
      </c>
      <c r="G54" s="48"/>
      <c r="H54" s="48"/>
    </row>
    <row r="55" customFormat="false" ht="13.5" hidden="false" customHeight="true" outlineLevel="0" collapsed="false">
      <c r="A55" s="11" t="s">
        <v>199</v>
      </c>
      <c r="B55" s="44" t="n">
        <v>52</v>
      </c>
      <c r="C55" s="12" t="n">
        <v>1363145</v>
      </c>
      <c r="D55" s="44" t="n">
        <v>52</v>
      </c>
      <c r="E55" s="9" t="s">
        <v>12</v>
      </c>
      <c r="F55" s="12" t="n">
        <f aca="false">SUM(C54:C55)</f>
        <v>1895754</v>
      </c>
      <c r="G55" s="49"/>
      <c r="H55" s="49"/>
    </row>
    <row r="56" customFormat="false" ht="13.5" hidden="false" customHeight="true" outlineLevel="0" collapsed="false">
      <c r="A56" s="40" t="s">
        <v>49</v>
      </c>
      <c r="B56" s="41" t="n">
        <v>47</v>
      </c>
      <c r="C56" s="42" t="n">
        <v>194497</v>
      </c>
      <c r="D56" s="41" t="n">
        <v>47</v>
      </c>
      <c r="E56" s="9" t="s">
        <v>12</v>
      </c>
      <c r="F56" s="42" t="n">
        <f aca="false">SUM(C54:C56)</f>
        <v>2090251</v>
      </c>
      <c r="G56" s="48"/>
      <c r="H56" s="48"/>
    </row>
    <row r="57" customFormat="false" ht="13.5" hidden="false" customHeight="true" outlineLevel="0" collapsed="false">
      <c r="A57" s="11" t="s">
        <v>51</v>
      </c>
      <c r="B57" s="44" t="n">
        <v>49</v>
      </c>
      <c r="C57" s="12" t="n">
        <v>207509</v>
      </c>
      <c r="D57" s="44" t="n">
        <v>49</v>
      </c>
      <c r="E57" s="9" t="s">
        <v>12</v>
      </c>
      <c r="F57" s="12" t="n">
        <f aca="false">SUM(C54:C57)</f>
        <v>2297760</v>
      </c>
      <c r="G57" s="49"/>
      <c r="H57" s="49"/>
    </row>
    <row r="58" customFormat="false" ht="13.5" hidden="false" customHeight="true" outlineLevel="0" collapsed="false">
      <c r="A58" s="40" t="s">
        <v>52</v>
      </c>
      <c r="B58" s="41" t="n">
        <v>60</v>
      </c>
      <c r="C58" s="42" t="n">
        <v>226759</v>
      </c>
      <c r="D58" s="41" t="n">
        <v>60</v>
      </c>
      <c r="E58" s="9" t="s">
        <v>12</v>
      </c>
      <c r="F58" s="42" t="n">
        <f aca="false">SUM(C54:C58)</f>
        <v>2524519</v>
      </c>
      <c r="G58" s="48"/>
      <c r="H58" s="48"/>
    </row>
    <row r="59" customFormat="false" ht="13.5" hidden="false" customHeight="true" outlineLevel="0" collapsed="false">
      <c r="A59" s="11" t="s">
        <v>53</v>
      </c>
      <c r="B59" s="44" t="n">
        <v>52</v>
      </c>
      <c r="C59" s="12" t="n">
        <v>184124</v>
      </c>
      <c r="D59" s="44" t="n">
        <v>52</v>
      </c>
      <c r="E59" s="9" t="s">
        <v>12</v>
      </c>
      <c r="F59" s="12" t="n">
        <f aca="false">SUM(C54:C59)</f>
        <v>2708643</v>
      </c>
      <c r="G59" s="49"/>
      <c r="H59" s="49"/>
    </row>
    <row r="60" customFormat="false" ht="13.5" hidden="false" customHeight="true" outlineLevel="0" collapsed="false">
      <c r="A60" s="40" t="s">
        <v>54</v>
      </c>
      <c r="B60" s="41" t="n">
        <v>58</v>
      </c>
      <c r="C60" s="42" t="n">
        <v>205648</v>
      </c>
      <c r="D60" s="41" t="n">
        <v>58</v>
      </c>
      <c r="E60" s="9" t="s">
        <v>12</v>
      </c>
      <c r="F60" s="42" t="n">
        <f aca="false">SUM(C54:C60)</f>
        <v>2914291</v>
      </c>
      <c r="G60" s="48"/>
      <c r="H60" s="48"/>
    </row>
    <row r="61" customFormat="false" ht="13.5" hidden="false" customHeight="true" outlineLevel="0" collapsed="false">
      <c r="A61" s="11" t="s">
        <v>55</v>
      </c>
      <c r="B61" s="44" t="n">
        <v>54</v>
      </c>
      <c r="C61" s="12" t="n">
        <v>243962</v>
      </c>
      <c r="D61" s="44" t="n">
        <v>54</v>
      </c>
      <c r="E61" s="9" t="s">
        <v>12</v>
      </c>
      <c r="F61" s="12" t="n">
        <f aca="false">SUM(C54:C61)</f>
        <v>3158253</v>
      </c>
      <c r="G61" s="49"/>
      <c r="H61" s="49"/>
    </row>
    <row r="62" customFormat="false" ht="13.5" hidden="false" customHeight="true" outlineLevel="0" collapsed="false">
      <c r="A62" s="40" t="s">
        <v>56</v>
      </c>
      <c r="B62" s="41" t="n">
        <v>50</v>
      </c>
      <c r="C62" s="42" t="n">
        <v>190772</v>
      </c>
      <c r="D62" s="41" t="n">
        <v>50</v>
      </c>
      <c r="E62" s="9" t="s">
        <v>12</v>
      </c>
      <c r="F62" s="42" t="n">
        <f aca="false">SUM(C54:C62)</f>
        <v>3349025</v>
      </c>
      <c r="G62" s="48"/>
      <c r="H62" s="48"/>
    </row>
    <row r="63" customFormat="false" ht="13.5" hidden="false" customHeight="true" outlineLevel="0" collapsed="false">
      <c r="A63" s="11" t="s">
        <v>57</v>
      </c>
      <c r="B63" s="44" t="n">
        <v>63</v>
      </c>
      <c r="C63" s="12" t="n">
        <v>244281</v>
      </c>
      <c r="D63" s="44" t="n">
        <v>63</v>
      </c>
      <c r="E63" s="9" t="s">
        <v>12</v>
      </c>
      <c r="F63" s="12" t="n">
        <f aca="false">SUM(C54:C63)</f>
        <v>3593306</v>
      </c>
      <c r="G63" s="49"/>
      <c r="H63" s="49"/>
    </row>
    <row r="64" customFormat="false" ht="13.5" hidden="false" customHeight="true" outlineLevel="0" collapsed="false">
      <c r="A64" s="40" t="s">
        <v>58</v>
      </c>
      <c r="B64" s="41" t="n">
        <v>69</v>
      </c>
      <c r="C64" s="42" t="n">
        <v>279713</v>
      </c>
      <c r="D64" s="41" t="n">
        <v>69</v>
      </c>
      <c r="E64" s="9" t="s">
        <v>12</v>
      </c>
      <c r="F64" s="42" t="n">
        <f aca="false">SUM(C54:C64)</f>
        <v>3873019</v>
      </c>
      <c r="G64" s="48"/>
      <c r="H64" s="48"/>
    </row>
    <row r="65" customFormat="false" ht="13.5" hidden="false" customHeight="true" outlineLevel="0" collapsed="false">
      <c r="A65" s="11" t="s">
        <v>59</v>
      </c>
      <c r="B65" s="44" t="n">
        <v>77</v>
      </c>
      <c r="C65" s="12" t="n">
        <v>265215</v>
      </c>
      <c r="D65" s="44" t="n">
        <v>77</v>
      </c>
      <c r="E65" s="9" t="s">
        <v>12</v>
      </c>
      <c r="F65" s="12" t="n">
        <f aca="false">SUM(C54:C65)</f>
        <v>4138234</v>
      </c>
      <c r="G65" s="49"/>
      <c r="H65" s="49"/>
    </row>
    <row r="66" customFormat="false" ht="13.5" hidden="false" customHeight="true" outlineLevel="0" collapsed="false">
      <c r="A66" s="40" t="s">
        <v>60</v>
      </c>
      <c r="B66" s="41" t="n">
        <v>47</v>
      </c>
      <c r="C66" s="42" t="n">
        <v>209258</v>
      </c>
      <c r="D66" s="41" t="n">
        <v>47</v>
      </c>
      <c r="E66" s="9" t="s">
        <v>12</v>
      </c>
      <c r="F66" s="42" t="n">
        <f aca="false">SUM(C54:C66)</f>
        <v>4347492</v>
      </c>
      <c r="G66" s="48"/>
      <c r="H66" s="48"/>
    </row>
    <row r="67" customFormat="false" ht="13.5" hidden="false" customHeight="true" outlineLevel="0" collapsed="false">
      <c r="A67" s="11" t="s">
        <v>61</v>
      </c>
      <c r="B67" s="44" t="n">
        <v>2</v>
      </c>
      <c r="C67" s="12" t="n">
        <v>15985</v>
      </c>
      <c r="D67" s="44" t="n">
        <v>2</v>
      </c>
      <c r="E67" s="9" t="s">
        <v>12</v>
      </c>
      <c r="F67" s="12" t="n">
        <f aca="false">SUM(C54:C67)</f>
        <v>4363477</v>
      </c>
      <c r="G67" s="49"/>
      <c r="H67" s="49"/>
    </row>
  </sheetData>
  <mergeCells count="5">
    <mergeCell ref="A1:H1"/>
    <mergeCell ref="A2:H2"/>
    <mergeCell ref="A3:H3"/>
    <mergeCell ref="A31:H31"/>
    <mergeCell ref="A52:H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4"/>
    <col collapsed="false" customWidth="true" hidden="false" outlineLevel="0" max="6" min="5" style="0" width="12"/>
    <col collapsed="false" customWidth="true" hidden="false" outlineLevel="0" max="7" min="7" style="0" width="50"/>
    <col collapsed="false" customWidth="true" hidden="false" outlineLevel="0" max="9" min="8" style="0" width="8"/>
  </cols>
  <sheetData>
    <row r="1" customFormat="false" ht="27.75" hidden="false" customHeight="true" outlineLevel="0" collapsed="false">
      <c r="A1" s="1" t="s">
        <v>200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201</v>
      </c>
      <c r="B2" s="2"/>
      <c r="C2" s="2"/>
      <c r="D2" s="2"/>
      <c r="E2" s="2"/>
      <c r="F2" s="2"/>
      <c r="G2" s="2"/>
      <c r="H2" s="2"/>
      <c r="I2" s="2"/>
    </row>
    <row r="3" customFormat="false" ht="15.75" hidden="false" customHeight="true" outlineLevel="0" collapsed="false">
      <c r="A3" s="5" t="s">
        <v>202</v>
      </c>
      <c r="B3" s="5"/>
      <c r="C3" s="5"/>
      <c r="D3" s="5"/>
      <c r="E3" s="5"/>
      <c r="F3" s="5"/>
      <c r="G3" s="5"/>
      <c r="H3" s="5"/>
      <c r="I3" s="5"/>
    </row>
    <row r="4" customFormat="false" ht="30" hidden="false" customHeight="true" outlineLevel="0" collapsed="false">
      <c r="A4" s="3" t="s">
        <v>95</v>
      </c>
      <c r="B4" s="3" t="s">
        <v>203</v>
      </c>
      <c r="C4" s="3" t="s">
        <v>204</v>
      </c>
      <c r="D4" s="3" t="s">
        <v>205</v>
      </c>
      <c r="E4" s="4" t="s">
        <v>206</v>
      </c>
      <c r="F4" s="4" t="s">
        <v>207</v>
      </c>
      <c r="G4" s="3" t="s">
        <v>7</v>
      </c>
      <c r="H4" s="3" t="s">
        <v>8</v>
      </c>
      <c r="I4" s="3"/>
    </row>
    <row r="5" customFormat="false" ht="13.5" hidden="false" customHeight="true" outlineLevel="0" collapsed="false">
      <c r="A5" s="40" t="s">
        <v>208</v>
      </c>
      <c r="B5" s="41" t="n">
        <v>9</v>
      </c>
      <c r="C5" s="41" t="n">
        <v>227</v>
      </c>
      <c r="D5" s="42" t="n">
        <v>272950</v>
      </c>
      <c r="E5" s="41" t="n">
        <v>9</v>
      </c>
      <c r="F5" s="42" t="n">
        <v>272950</v>
      </c>
      <c r="G5" s="9" t="s">
        <v>12</v>
      </c>
      <c r="H5" s="48"/>
      <c r="I5" s="48"/>
    </row>
    <row r="6" customFormat="false" ht="13.5" hidden="false" customHeight="true" outlineLevel="0" collapsed="false">
      <c r="A6" s="11" t="s">
        <v>209</v>
      </c>
      <c r="B6" s="44" t="n">
        <v>15</v>
      </c>
      <c r="C6" s="44" t="n">
        <v>1120</v>
      </c>
      <c r="D6" s="12" t="n">
        <v>172850</v>
      </c>
      <c r="E6" s="44" t="n">
        <v>15</v>
      </c>
      <c r="F6" s="12" t="n">
        <v>172850</v>
      </c>
      <c r="G6" s="9" t="s">
        <v>12</v>
      </c>
      <c r="H6" s="49"/>
      <c r="I6" s="49"/>
    </row>
    <row r="7" customFormat="false" ht="13.5" hidden="false" customHeight="true" outlineLevel="0" collapsed="false">
      <c r="A7" s="40" t="s">
        <v>210</v>
      </c>
      <c r="B7" s="41" t="n">
        <v>10</v>
      </c>
      <c r="C7" s="41" t="n">
        <v>484</v>
      </c>
      <c r="D7" s="42" t="n">
        <v>156800</v>
      </c>
      <c r="E7" s="41" t="n">
        <v>10</v>
      </c>
      <c r="F7" s="42" t="n">
        <v>156800</v>
      </c>
      <c r="G7" s="9" t="s">
        <v>12</v>
      </c>
      <c r="H7" s="48"/>
      <c r="I7" s="48"/>
    </row>
    <row r="8" customFormat="false" ht="13.5" hidden="false" customHeight="true" outlineLevel="0" collapsed="false">
      <c r="A8" s="11" t="s">
        <v>211</v>
      </c>
      <c r="B8" s="44" t="n">
        <v>11</v>
      </c>
      <c r="C8" s="44" t="n">
        <v>98</v>
      </c>
      <c r="D8" s="12" t="n">
        <v>114900</v>
      </c>
      <c r="E8" s="44" t="n">
        <v>11</v>
      </c>
      <c r="F8" s="12" t="n">
        <v>114900</v>
      </c>
      <c r="G8" s="9" t="s">
        <v>12</v>
      </c>
      <c r="H8" s="49"/>
      <c r="I8" s="49"/>
    </row>
    <row r="9" customFormat="false" ht="13.5" hidden="false" customHeight="true" outlineLevel="0" collapsed="false">
      <c r="A9" s="40" t="s">
        <v>212</v>
      </c>
      <c r="B9" s="41" t="n">
        <v>4</v>
      </c>
      <c r="C9" s="41" t="n">
        <v>15</v>
      </c>
      <c r="D9" s="42" t="n">
        <v>84000</v>
      </c>
      <c r="E9" s="41" t="n">
        <v>4</v>
      </c>
      <c r="F9" s="42" t="n">
        <v>84000</v>
      </c>
      <c r="G9" s="9" t="s">
        <v>12</v>
      </c>
      <c r="H9" s="48"/>
      <c r="I9" s="48"/>
    </row>
    <row r="10" customFormat="false" ht="13.5" hidden="false" customHeight="true" outlineLevel="0" collapsed="false">
      <c r="A10" s="11" t="s">
        <v>213</v>
      </c>
      <c r="B10" s="44" t="n">
        <v>12</v>
      </c>
      <c r="C10" s="44" t="n">
        <v>36</v>
      </c>
      <c r="D10" s="12" t="n">
        <v>75000</v>
      </c>
      <c r="E10" s="44" t="n">
        <v>12</v>
      </c>
      <c r="F10" s="12" t="n">
        <v>75000</v>
      </c>
      <c r="G10" s="9" t="s">
        <v>12</v>
      </c>
      <c r="H10" s="49"/>
      <c r="I10" s="49"/>
    </row>
    <row r="11" customFormat="false" ht="13.5" hidden="false" customHeight="true" outlineLevel="0" collapsed="false">
      <c r="A11" s="40" t="s">
        <v>214</v>
      </c>
      <c r="B11" s="41" t="n">
        <v>8</v>
      </c>
      <c r="C11" s="41" t="n">
        <v>18</v>
      </c>
      <c r="D11" s="42" t="n">
        <v>57700</v>
      </c>
      <c r="E11" s="41" t="n">
        <v>8</v>
      </c>
      <c r="F11" s="42" t="n">
        <v>57700</v>
      </c>
      <c r="G11" s="9" t="s">
        <v>12</v>
      </c>
      <c r="H11" s="48"/>
      <c r="I11" s="48"/>
    </row>
    <row r="12" customFormat="false" ht="13.5" hidden="false" customHeight="true" outlineLevel="0" collapsed="false">
      <c r="A12" s="11" t="s">
        <v>215</v>
      </c>
      <c r="B12" s="44" t="n">
        <v>8</v>
      </c>
      <c r="C12" s="44" t="n">
        <v>41</v>
      </c>
      <c r="D12" s="12" t="n">
        <v>9850</v>
      </c>
      <c r="E12" s="44" t="n">
        <v>8</v>
      </c>
      <c r="F12" s="12" t="n">
        <v>9850</v>
      </c>
      <c r="G12" s="9" t="s">
        <v>12</v>
      </c>
      <c r="H12" s="49"/>
      <c r="I12" s="49"/>
    </row>
    <row r="13" customFormat="false" ht="15.75" hidden="false" customHeight="true" outlineLevel="0" collapsed="false">
      <c r="A13" s="46" t="s">
        <v>62</v>
      </c>
      <c r="B13" s="47" t="n">
        <f aca="false">SUM(B5:B12)</f>
        <v>77</v>
      </c>
      <c r="C13" s="47" t="n">
        <f aca="false">SUM(C5:C12)</f>
        <v>2039</v>
      </c>
      <c r="D13" s="47" t="n">
        <f aca="false">SUM(D5:D12)</f>
        <v>944050</v>
      </c>
      <c r="E13" s="47" t="n">
        <f aca="false">SUM(E5:E12)</f>
        <v>77</v>
      </c>
      <c r="F13" s="47" t="n">
        <f aca="false">SUM(F5:F12)</f>
        <v>944050</v>
      </c>
      <c r="G13" s="9" t="s">
        <v>12</v>
      </c>
    </row>
    <row r="15" customFormat="false" ht="15.75" hidden="false" customHeight="true" outlineLevel="0" collapsed="false">
      <c r="A15" s="5" t="s">
        <v>216</v>
      </c>
      <c r="B15" s="5"/>
      <c r="C15" s="5"/>
      <c r="D15" s="5"/>
      <c r="E15" s="5"/>
      <c r="F15" s="5"/>
      <c r="G15" s="5"/>
      <c r="H15" s="5"/>
      <c r="I15" s="5"/>
    </row>
    <row r="16" customFormat="false" ht="30" hidden="false" customHeight="true" outlineLevel="0" collapsed="false">
      <c r="A16" s="3" t="s">
        <v>217</v>
      </c>
      <c r="B16" s="3" t="s">
        <v>95</v>
      </c>
      <c r="C16" s="3" t="s">
        <v>218</v>
      </c>
      <c r="D16" s="3" t="s">
        <v>219</v>
      </c>
      <c r="E16" s="3" t="s">
        <v>205</v>
      </c>
      <c r="F16" s="4" t="s">
        <v>220</v>
      </c>
      <c r="G16" s="3" t="s">
        <v>7</v>
      </c>
      <c r="H16" s="3" t="s">
        <v>8</v>
      </c>
      <c r="I16" s="3"/>
    </row>
    <row r="17" customFormat="false" ht="13.5" hidden="false" customHeight="true" outlineLevel="0" collapsed="false">
      <c r="A17" s="40" t="s">
        <v>221</v>
      </c>
      <c r="B17" s="40" t="s">
        <v>215</v>
      </c>
      <c r="C17" s="41" t="n">
        <v>4</v>
      </c>
      <c r="D17" s="42" t="n">
        <v>250</v>
      </c>
      <c r="E17" s="42" t="n">
        <v>1000</v>
      </c>
      <c r="F17" s="40" t="s">
        <v>222</v>
      </c>
      <c r="G17" s="9" t="s">
        <v>12</v>
      </c>
      <c r="H17" s="48"/>
      <c r="I17" s="48"/>
    </row>
    <row r="18" customFormat="false" ht="13.5" hidden="false" customHeight="true" outlineLevel="0" collapsed="false">
      <c r="A18" s="11" t="s">
        <v>223</v>
      </c>
      <c r="B18" s="11" t="s">
        <v>215</v>
      </c>
      <c r="C18" s="44" t="n">
        <v>3</v>
      </c>
      <c r="D18" s="12" t="n">
        <v>300</v>
      </c>
      <c r="E18" s="12" t="n">
        <v>900</v>
      </c>
      <c r="F18" s="11" t="s">
        <v>222</v>
      </c>
      <c r="G18" s="9" t="s">
        <v>12</v>
      </c>
      <c r="H18" s="49"/>
      <c r="I18" s="49"/>
    </row>
    <row r="19" customFormat="false" ht="13.5" hidden="false" customHeight="true" outlineLevel="0" collapsed="false">
      <c r="A19" s="40" t="s">
        <v>224</v>
      </c>
      <c r="B19" s="40" t="s">
        <v>215</v>
      </c>
      <c r="C19" s="41" t="n">
        <v>6</v>
      </c>
      <c r="D19" s="42" t="n">
        <v>350</v>
      </c>
      <c r="E19" s="42" t="n">
        <v>2100</v>
      </c>
      <c r="F19" s="40" t="s">
        <v>222</v>
      </c>
      <c r="G19" s="9" t="s">
        <v>12</v>
      </c>
      <c r="H19" s="48"/>
      <c r="I19" s="48"/>
    </row>
    <row r="20" customFormat="false" ht="13.5" hidden="false" customHeight="true" outlineLevel="0" collapsed="false">
      <c r="A20" s="11" t="s">
        <v>225</v>
      </c>
      <c r="B20" s="11" t="s">
        <v>215</v>
      </c>
      <c r="C20" s="44" t="n">
        <v>4</v>
      </c>
      <c r="D20" s="12" t="n">
        <v>200</v>
      </c>
      <c r="E20" s="12" t="n">
        <v>800</v>
      </c>
      <c r="F20" s="11" t="s">
        <v>222</v>
      </c>
      <c r="G20" s="9" t="s">
        <v>12</v>
      </c>
      <c r="H20" s="49"/>
      <c r="I20" s="49"/>
    </row>
    <row r="21" customFormat="false" ht="13.5" hidden="false" customHeight="true" outlineLevel="0" collapsed="false">
      <c r="A21" s="40" t="s">
        <v>226</v>
      </c>
      <c r="B21" s="40" t="s">
        <v>215</v>
      </c>
      <c r="C21" s="41" t="n">
        <v>5</v>
      </c>
      <c r="D21" s="42" t="n">
        <v>350</v>
      </c>
      <c r="E21" s="42" t="n">
        <v>1750</v>
      </c>
      <c r="F21" s="40" t="s">
        <v>222</v>
      </c>
      <c r="G21" s="9" t="s">
        <v>12</v>
      </c>
      <c r="H21" s="48"/>
      <c r="I21" s="48"/>
    </row>
    <row r="22" customFormat="false" ht="13.5" hidden="false" customHeight="true" outlineLevel="0" collapsed="false">
      <c r="A22" s="11" t="s">
        <v>227</v>
      </c>
      <c r="B22" s="11" t="s">
        <v>215</v>
      </c>
      <c r="C22" s="44" t="n">
        <v>10</v>
      </c>
      <c r="D22" s="12" t="n">
        <v>120</v>
      </c>
      <c r="E22" s="12" t="n">
        <v>1200</v>
      </c>
      <c r="F22" s="11" t="s">
        <v>222</v>
      </c>
      <c r="G22" s="9" t="s">
        <v>12</v>
      </c>
      <c r="H22" s="49"/>
      <c r="I22" s="49"/>
    </row>
    <row r="23" customFormat="false" ht="13.5" hidden="false" customHeight="true" outlineLevel="0" collapsed="false">
      <c r="A23" s="40" t="s">
        <v>228</v>
      </c>
      <c r="B23" s="40" t="s">
        <v>215</v>
      </c>
      <c r="C23" s="41" t="n">
        <v>6</v>
      </c>
      <c r="D23" s="42" t="n">
        <v>150</v>
      </c>
      <c r="E23" s="42" t="n">
        <v>900</v>
      </c>
      <c r="F23" s="40" t="s">
        <v>222</v>
      </c>
      <c r="G23" s="9" t="s">
        <v>12</v>
      </c>
      <c r="H23" s="48"/>
      <c r="I23" s="48"/>
    </row>
    <row r="24" customFormat="false" ht="13.5" hidden="false" customHeight="true" outlineLevel="0" collapsed="false">
      <c r="A24" s="11" t="s">
        <v>229</v>
      </c>
      <c r="B24" s="11" t="s">
        <v>215</v>
      </c>
      <c r="C24" s="44" t="n">
        <v>3</v>
      </c>
      <c r="D24" s="12" t="n">
        <v>400</v>
      </c>
      <c r="E24" s="12" t="n">
        <v>1200</v>
      </c>
      <c r="F24" s="11" t="s">
        <v>222</v>
      </c>
      <c r="G24" s="9" t="s">
        <v>12</v>
      </c>
      <c r="H24" s="49"/>
      <c r="I24" s="49"/>
    </row>
    <row r="25" customFormat="false" ht="13.5" hidden="false" customHeight="true" outlineLevel="0" collapsed="false">
      <c r="A25" s="40" t="s">
        <v>230</v>
      </c>
      <c r="B25" s="40" t="s">
        <v>209</v>
      </c>
      <c r="C25" s="41" t="n">
        <v>80</v>
      </c>
      <c r="D25" s="42" t="n">
        <v>200</v>
      </c>
      <c r="E25" s="42" t="n">
        <v>16000</v>
      </c>
      <c r="F25" s="40" t="s">
        <v>222</v>
      </c>
      <c r="G25" s="9" t="s">
        <v>12</v>
      </c>
      <c r="H25" s="48"/>
      <c r="I25" s="48"/>
    </row>
    <row r="26" customFormat="false" ht="13.5" hidden="false" customHeight="true" outlineLevel="0" collapsed="false">
      <c r="A26" s="11" t="s">
        <v>231</v>
      </c>
      <c r="B26" s="11" t="s">
        <v>209</v>
      </c>
      <c r="C26" s="44" t="n">
        <v>120</v>
      </c>
      <c r="D26" s="12" t="n">
        <v>250</v>
      </c>
      <c r="E26" s="12" t="n">
        <v>30000</v>
      </c>
      <c r="F26" s="11" t="s">
        <v>222</v>
      </c>
      <c r="G26" s="9" t="s">
        <v>12</v>
      </c>
      <c r="H26" s="49"/>
      <c r="I26" s="49"/>
    </row>
    <row r="27" customFormat="false" ht="13.5" hidden="false" customHeight="true" outlineLevel="0" collapsed="false">
      <c r="A27" s="40" t="s">
        <v>232</v>
      </c>
      <c r="B27" s="40" t="s">
        <v>209</v>
      </c>
      <c r="C27" s="41" t="n">
        <v>120</v>
      </c>
      <c r="D27" s="42" t="n">
        <v>120</v>
      </c>
      <c r="E27" s="42" t="n">
        <v>14400</v>
      </c>
      <c r="F27" s="40" t="s">
        <v>222</v>
      </c>
      <c r="G27" s="9" t="s">
        <v>12</v>
      </c>
      <c r="H27" s="48"/>
      <c r="I27" s="48"/>
    </row>
    <row r="28" customFormat="false" ht="13.5" hidden="false" customHeight="true" outlineLevel="0" collapsed="false">
      <c r="A28" s="11" t="s">
        <v>233</v>
      </c>
      <c r="B28" s="11" t="s">
        <v>209</v>
      </c>
      <c r="C28" s="44" t="n">
        <v>15</v>
      </c>
      <c r="D28" s="12" t="n">
        <v>150</v>
      </c>
      <c r="E28" s="12" t="n">
        <v>2250</v>
      </c>
      <c r="F28" s="11" t="s">
        <v>222</v>
      </c>
      <c r="G28" s="9" t="s">
        <v>12</v>
      </c>
      <c r="H28" s="49"/>
      <c r="I28" s="49"/>
    </row>
    <row r="29" customFormat="false" ht="13.5" hidden="false" customHeight="true" outlineLevel="0" collapsed="false">
      <c r="A29" s="40" t="s">
        <v>234</v>
      </c>
      <c r="B29" s="40" t="s">
        <v>209</v>
      </c>
      <c r="C29" s="41" t="n">
        <v>12</v>
      </c>
      <c r="D29" s="42" t="n">
        <v>800</v>
      </c>
      <c r="E29" s="42" t="n">
        <v>9600</v>
      </c>
      <c r="F29" s="40" t="s">
        <v>222</v>
      </c>
      <c r="G29" s="9" t="s">
        <v>12</v>
      </c>
      <c r="H29" s="48"/>
      <c r="I29" s="48"/>
    </row>
    <row r="30" customFormat="false" ht="13.5" hidden="false" customHeight="true" outlineLevel="0" collapsed="false">
      <c r="A30" s="11" t="s">
        <v>235</v>
      </c>
      <c r="B30" s="11" t="s">
        <v>209</v>
      </c>
      <c r="C30" s="44" t="n">
        <v>15</v>
      </c>
      <c r="D30" s="12" t="n">
        <v>500</v>
      </c>
      <c r="E30" s="12" t="n">
        <v>7500</v>
      </c>
      <c r="F30" s="11" t="s">
        <v>222</v>
      </c>
      <c r="G30" s="9" t="s">
        <v>12</v>
      </c>
      <c r="H30" s="49"/>
      <c r="I30" s="49"/>
    </row>
    <row r="31" customFormat="false" ht="13.5" hidden="false" customHeight="true" outlineLevel="0" collapsed="false">
      <c r="A31" s="40" t="s">
        <v>236</v>
      </c>
      <c r="B31" s="40" t="s">
        <v>209</v>
      </c>
      <c r="C31" s="41" t="n">
        <v>8</v>
      </c>
      <c r="D31" s="42" t="n">
        <v>600</v>
      </c>
      <c r="E31" s="42" t="n">
        <v>4800</v>
      </c>
      <c r="F31" s="40" t="s">
        <v>222</v>
      </c>
      <c r="G31" s="9" t="s">
        <v>12</v>
      </c>
      <c r="H31" s="48"/>
      <c r="I31" s="48"/>
    </row>
    <row r="32" customFormat="false" ht="13.5" hidden="false" customHeight="true" outlineLevel="0" collapsed="false">
      <c r="A32" s="11" t="s">
        <v>237</v>
      </c>
      <c r="B32" s="11" t="s">
        <v>209</v>
      </c>
      <c r="C32" s="44" t="n">
        <v>120</v>
      </c>
      <c r="D32" s="12" t="n">
        <v>180</v>
      </c>
      <c r="E32" s="12" t="n">
        <v>21600</v>
      </c>
      <c r="F32" s="11" t="s">
        <v>222</v>
      </c>
      <c r="G32" s="9" t="s">
        <v>12</v>
      </c>
      <c r="H32" s="49"/>
      <c r="I32" s="49"/>
    </row>
    <row r="33" customFormat="false" ht="13.5" hidden="false" customHeight="true" outlineLevel="0" collapsed="false">
      <c r="A33" s="40" t="s">
        <v>238</v>
      </c>
      <c r="B33" s="40" t="s">
        <v>209</v>
      </c>
      <c r="C33" s="41" t="n">
        <v>80</v>
      </c>
      <c r="D33" s="42" t="n">
        <v>200</v>
      </c>
      <c r="E33" s="42" t="n">
        <v>16000</v>
      </c>
      <c r="F33" s="40" t="s">
        <v>222</v>
      </c>
      <c r="G33" s="9" t="s">
        <v>12</v>
      </c>
      <c r="H33" s="48"/>
      <c r="I33" s="48"/>
    </row>
    <row r="34" customFormat="false" ht="13.5" hidden="false" customHeight="true" outlineLevel="0" collapsed="false">
      <c r="A34" s="11" t="s">
        <v>239</v>
      </c>
      <c r="B34" s="11" t="s">
        <v>209</v>
      </c>
      <c r="C34" s="44" t="n">
        <v>120</v>
      </c>
      <c r="D34" s="12" t="n">
        <v>80</v>
      </c>
      <c r="E34" s="12" t="n">
        <v>9600</v>
      </c>
      <c r="F34" s="11" t="s">
        <v>222</v>
      </c>
      <c r="G34" s="9" t="s">
        <v>12</v>
      </c>
      <c r="H34" s="49"/>
      <c r="I34" s="49"/>
    </row>
    <row r="35" customFormat="false" ht="13.5" hidden="false" customHeight="true" outlineLevel="0" collapsed="false">
      <c r="A35" s="40" t="s">
        <v>240</v>
      </c>
      <c r="B35" s="40" t="s">
        <v>209</v>
      </c>
      <c r="C35" s="41" t="n">
        <v>120</v>
      </c>
      <c r="D35" s="42" t="n">
        <v>80</v>
      </c>
      <c r="E35" s="42" t="n">
        <v>9600</v>
      </c>
      <c r="F35" s="40" t="s">
        <v>222</v>
      </c>
      <c r="G35" s="9" t="s">
        <v>12</v>
      </c>
      <c r="H35" s="48"/>
      <c r="I35" s="48"/>
    </row>
    <row r="36" customFormat="false" ht="13.5" hidden="false" customHeight="true" outlineLevel="0" collapsed="false">
      <c r="A36" s="11" t="s">
        <v>241</v>
      </c>
      <c r="B36" s="11" t="s">
        <v>209</v>
      </c>
      <c r="C36" s="44" t="n">
        <v>120</v>
      </c>
      <c r="D36" s="12" t="n">
        <v>60</v>
      </c>
      <c r="E36" s="12" t="n">
        <v>7200</v>
      </c>
      <c r="F36" s="11" t="s">
        <v>222</v>
      </c>
      <c r="G36" s="9" t="s">
        <v>12</v>
      </c>
      <c r="H36" s="49"/>
      <c r="I36" s="49"/>
    </row>
    <row r="37" customFormat="false" ht="13.5" hidden="false" customHeight="true" outlineLevel="0" collapsed="false">
      <c r="A37" s="40" t="s">
        <v>242</v>
      </c>
      <c r="B37" s="40" t="s">
        <v>209</v>
      </c>
      <c r="C37" s="41" t="n">
        <v>120</v>
      </c>
      <c r="D37" s="42" t="n">
        <v>40</v>
      </c>
      <c r="E37" s="42" t="n">
        <v>4800</v>
      </c>
      <c r="F37" s="40" t="s">
        <v>222</v>
      </c>
      <c r="G37" s="9" t="s">
        <v>12</v>
      </c>
      <c r="H37" s="48"/>
      <c r="I37" s="48"/>
    </row>
    <row r="38" customFormat="false" ht="13.5" hidden="false" customHeight="true" outlineLevel="0" collapsed="false">
      <c r="A38" s="11" t="s">
        <v>243</v>
      </c>
      <c r="B38" s="11" t="s">
        <v>209</v>
      </c>
      <c r="C38" s="44" t="n">
        <v>10</v>
      </c>
      <c r="D38" s="12" t="n">
        <v>450</v>
      </c>
      <c r="E38" s="12" t="n">
        <v>4500</v>
      </c>
      <c r="F38" s="11" t="s">
        <v>222</v>
      </c>
      <c r="G38" s="9" t="s">
        <v>12</v>
      </c>
      <c r="H38" s="49"/>
      <c r="I38" s="49"/>
    </row>
    <row r="39" customFormat="false" ht="13.5" hidden="false" customHeight="true" outlineLevel="0" collapsed="false">
      <c r="A39" s="40" t="s">
        <v>244</v>
      </c>
      <c r="B39" s="40" t="s">
        <v>209</v>
      </c>
      <c r="C39" s="41" t="n">
        <v>60</v>
      </c>
      <c r="D39" s="42" t="n">
        <v>250</v>
      </c>
      <c r="E39" s="42" t="n">
        <v>15000</v>
      </c>
      <c r="F39" s="40" t="s">
        <v>222</v>
      </c>
      <c r="G39" s="9" t="s">
        <v>12</v>
      </c>
      <c r="H39" s="48"/>
      <c r="I39" s="48"/>
    </row>
    <row r="40" customFormat="false" ht="13.5" hidden="false" customHeight="true" outlineLevel="0" collapsed="false">
      <c r="A40" s="11" t="s">
        <v>245</v>
      </c>
      <c r="B40" s="11" t="s">
        <v>211</v>
      </c>
      <c r="C40" s="44" t="n">
        <v>2</v>
      </c>
      <c r="D40" s="12" t="n">
        <v>15000</v>
      </c>
      <c r="E40" s="12" t="n">
        <v>30000</v>
      </c>
      <c r="F40" s="11" t="s">
        <v>222</v>
      </c>
      <c r="G40" s="9" t="s">
        <v>12</v>
      </c>
      <c r="H40" s="49"/>
      <c r="I40" s="49"/>
    </row>
    <row r="41" customFormat="false" ht="13.5" hidden="false" customHeight="true" outlineLevel="0" collapsed="false">
      <c r="A41" s="40" t="s">
        <v>246</v>
      </c>
      <c r="B41" s="40" t="s">
        <v>211</v>
      </c>
      <c r="C41" s="41" t="n">
        <v>2</v>
      </c>
      <c r="D41" s="42" t="n">
        <v>6000</v>
      </c>
      <c r="E41" s="42" t="n">
        <v>12000</v>
      </c>
      <c r="F41" s="40" t="s">
        <v>222</v>
      </c>
      <c r="G41" s="9" t="s">
        <v>12</v>
      </c>
      <c r="H41" s="48"/>
      <c r="I41" s="48"/>
    </row>
    <row r="42" customFormat="false" ht="13.5" hidden="false" customHeight="true" outlineLevel="0" collapsed="false">
      <c r="A42" s="11" t="s">
        <v>247</v>
      </c>
      <c r="B42" s="11" t="s">
        <v>211</v>
      </c>
      <c r="C42" s="44" t="n">
        <v>8</v>
      </c>
      <c r="D42" s="12" t="n">
        <v>1500</v>
      </c>
      <c r="E42" s="12" t="n">
        <v>12000</v>
      </c>
      <c r="F42" s="11" t="s">
        <v>222</v>
      </c>
      <c r="G42" s="9" t="s">
        <v>12</v>
      </c>
      <c r="H42" s="49"/>
      <c r="I42" s="49"/>
    </row>
    <row r="43" customFormat="false" ht="13.5" hidden="false" customHeight="true" outlineLevel="0" collapsed="false">
      <c r="A43" s="40" t="s">
        <v>248</v>
      </c>
      <c r="B43" s="40" t="s">
        <v>211</v>
      </c>
      <c r="C43" s="41" t="n">
        <v>6</v>
      </c>
      <c r="D43" s="42" t="n">
        <v>800</v>
      </c>
      <c r="E43" s="42" t="n">
        <v>4800</v>
      </c>
      <c r="F43" s="40" t="s">
        <v>222</v>
      </c>
      <c r="G43" s="9" t="s">
        <v>12</v>
      </c>
      <c r="H43" s="48"/>
      <c r="I43" s="48"/>
    </row>
    <row r="44" customFormat="false" ht="13.5" hidden="false" customHeight="true" outlineLevel="0" collapsed="false">
      <c r="A44" s="11" t="s">
        <v>249</v>
      </c>
      <c r="B44" s="11" t="s">
        <v>211</v>
      </c>
      <c r="C44" s="44" t="n">
        <v>4</v>
      </c>
      <c r="D44" s="12" t="n">
        <v>2500</v>
      </c>
      <c r="E44" s="12" t="n">
        <v>10000</v>
      </c>
      <c r="F44" s="11" t="s">
        <v>222</v>
      </c>
      <c r="G44" s="9" t="s">
        <v>12</v>
      </c>
      <c r="H44" s="49"/>
      <c r="I44" s="49"/>
    </row>
    <row r="45" customFormat="false" ht="13.5" hidden="false" customHeight="true" outlineLevel="0" collapsed="false">
      <c r="A45" s="40" t="s">
        <v>250</v>
      </c>
      <c r="B45" s="40" t="s">
        <v>211</v>
      </c>
      <c r="C45" s="41" t="n">
        <v>10</v>
      </c>
      <c r="D45" s="42" t="n">
        <v>1200</v>
      </c>
      <c r="E45" s="42" t="n">
        <v>12000</v>
      </c>
      <c r="F45" s="40" t="s">
        <v>222</v>
      </c>
      <c r="G45" s="9" t="s">
        <v>12</v>
      </c>
      <c r="H45" s="48"/>
      <c r="I45" s="48"/>
    </row>
    <row r="46" customFormat="false" ht="13.5" hidden="false" customHeight="true" outlineLevel="0" collapsed="false">
      <c r="A46" s="11" t="s">
        <v>251</v>
      </c>
      <c r="B46" s="11" t="s">
        <v>211</v>
      </c>
      <c r="C46" s="44" t="n">
        <v>20</v>
      </c>
      <c r="D46" s="12" t="n">
        <v>280</v>
      </c>
      <c r="E46" s="12" t="n">
        <v>5600</v>
      </c>
      <c r="F46" s="11" t="s">
        <v>222</v>
      </c>
      <c r="G46" s="9" t="s">
        <v>12</v>
      </c>
      <c r="H46" s="49"/>
      <c r="I46" s="49"/>
    </row>
    <row r="47" customFormat="false" ht="13.5" hidden="false" customHeight="true" outlineLevel="0" collapsed="false">
      <c r="A47" s="40" t="s">
        <v>252</v>
      </c>
      <c r="B47" s="40" t="s">
        <v>211</v>
      </c>
      <c r="C47" s="41" t="n">
        <v>30</v>
      </c>
      <c r="D47" s="42" t="n">
        <v>250</v>
      </c>
      <c r="E47" s="42" t="n">
        <v>7500</v>
      </c>
      <c r="F47" s="40" t="s">
        <v>222</v>
      </c>
      <c r="G47" s="9" t="s">
        <v>12</v>
      </c>
      <c r="H47" s="48"/>
      <c r="I47" s="48"/>
    </row>
    <row r="48" customFormat="false" ht="13.5" hidden="false" customHeight="true" outlineLevel="0" collapsed="false">
      <c r="A48" s="11" t="s">
        <v>253</v>
      </c>
      <c r="B48" s="11" t="s">
        <v>211</v>
      </c>
      <c r="C48" s="44" t="n">
        <v>2</v>
      </c>
      <c r="D48" s="12" t="n">
        <v>4500</v>
      </c>
      <c r="E48" s="12" t="n">
        <v>9000</v>
      </c>
      <c r="F48" s="11" t="s">
        <v>222</v>
      </c>
      <c r="G48" s="9" t="s">
        <v>12</v>
      </c>
      <c r="H48" s="49"/>
      <c r="I48" s="49"/>
    </row>
    <row r="49" customFormat="false" ht="13.5" hidden="false" customHeight="true" outlineLevel="0" collapsed="false">
      <c r="A49" s="40" t="s">
        <v>254</v>
      </c>
      <c r="B49" s="40" t="s">
        <v>211</v>
      </c>
      <c r="C49" s="41" t="n">
        <v>10</v>
      </c>
      <c r="D49" s="42" t="n">
        <v>400</v>
      </c>
      <c r="E49" s="42" t="n">
        <v>4000</v>
      </c>
      <c r="F49" s="40" t="s">
        <v>222</v>
      </c>
      <c r="G49" s="9" t="s">
        <v>12</v>
      </c>
      <c r="H49" s="48"/>
      <c r="I49" s="48"/>
    </row>
    <row r="50" customFormat="false" ht="13.5" hidden="false" customHeight="true" outlineLevel="0" collapsed="false">
      <c r="A50" s="11" t="s">
        <v>255</v>
      </c>
      <c r="B50" s="11" t="s">
        <v>211</v>
      </c>
      <c r="C50" s="44" t="n">
        <v>4</v>
      </c>
      <c r="D50" s="12" t="n">
        <v>2000</v>
      </c>
      <c r="E50" s="12" t="n">
        <v>8000</v>
      </c>
      <c r="F50" s="11" t="s">
        <v>222</v>
      </c>
      <c r="G50" s="9" t="s">
        <v>12</v>
      </c>
      <c r="H50" s="49"/>
      <c r="I50" s="49"/>
    </row>
    <row r="51" customFormat="false" ht="13.5" hidden="false" customHeight="true" outlineLevel="0" collapsed="false">
      <c r="A51" s="40" t="s">
        <v>256</v>
      </c>
      <c r="B51" s="40" t="s">
        <v>208</v>
      </c>
      <c r="C51" s="41" t="n">
        <v>50</v>
      </c>
      <c r="D51" s="42" t="n">
        <v>50</v>
      </c>
      <c r="E51" s="42" t="n">
        <v>2500</v>
      </c>
      <c r="F51" s="40" t="s">
        <v>222</v>
      </c>
      <c r="G51" s="9" t="s">
        <v>12</v>
      </c>
      <c r="H51" s="48"/>
      <c r="I51" s="48"/>
    </row>
    <row r="52" customFormat="false" ht="13.5" hidden="false" customHeight="true" outlineLevel="0" collapsed="false">
      <c r="A52" s="11" t="s">
        <v>257</v>
      </c>
      <c r="B52" s="11" t="s">
        <v>208</v>
      </c>
      <c r="C52" s="44" t="n">
        <v>15</v>
      </c>
      <c r="D52" s="12" t="n">
        <v>350</v>
      </c>
      <c r="E52" s="12" t="n">
        <v>5250</v>
      </c>
      <c r="F52" s="11" t="s">
        <v>222</v>
      </c>
      <c r="G52" s="9" t="s">
        <v>12</v>
      </c>
      <c r="H52" s="49"/>
      <c r="I52" s="49"/>
    </row>
    <row r="53" customFormat="false" ht="13.5" hidden="false" customHeight="true" outlineLevel="0" collapsed="false">
      <c r="A53" s="40" t="s">
        <v>258</v>
      </c>
      <c r="B53" s="40" t="s">
        <v>208</v>
      </c>
      <c r="C53" s="41" t="n">
        <v>120</v>
      </c>
      <c r="D53" s="42" t="n">
        <v>800</v>
      </c>
      <c r="E53" s="42" t="n">
        <v>96000</v>
      </c>
      <c r="F53" s="40" t="s">
        <v>222</v>
      </c>
      <c r="G53" s="9" t="s">
        <v>12</v>
      </c>
      <c r="H53" s="48"/>
      <c r="I53" s="48"/>
    </row>
    <row r="54" customFormat="false" ht="13.5" hidden="false" customHeight="true" outlineLevel="0" collapsed="false">
      <c r="A54" s="11" t="s">
        <v>259</v>
      </c>
      <c r="B54" s="11" t="s">
        <v>208</v>
      </c>
      <c r="C54" s="44" t="n">
        <v>4</v>
      </c>
      <c r="D54" s="12" t="n">
        <v>4500</v>
      </c>
      <c r="E54" s="12" t="n">
        <v>18000</v>
      </c>
      <c r="F54" s="11" t="s">
        <v>222</v>
      </c>
      <c r="G54" s="9" t="s">
        <v>12</v>
      </c>
      <c r="H54" s="49"/>
      <c r="I54" s="49"/>
    </row>
    <row r="55" customFormat="false" ht="13.5" hidden="false" customHeight="true" outlineLevel="0" collapsed="false">
      <c r="A55" s="40" t="s">
        <v>260</v>
      </c>
      <c r="B55" s="40" t="s">
        <v>208</v>
      </c>
      <c r="C55" s="41" t="n">
        <v>13</v>
      </c>
      <c r="D55" s="42" t="n">
        <v>6000</v>
      </c>
      <c r="E55" s="42" t="n">
        <v>78000</v>
      </c>
      <c r="F55" s="40" t="s">
        <v>222</v>
      </c>
      <c r="G55" s="9" t="s">
        <v>12</v>
      </c>
      <c r="H55" s="48"/>
      <c r="I55" s="48"/>
    </row>
    <row r="56" customFormat="false" ht="13.5" hidden="false" customHeight="true" outlineLevel="0" collapsed="false">
      <c r="A56" s="11" t="s">
        <v>261</v>
      </c>
      <c r="B56" s="11" t="s">
        <v>208</v>
      </c>
      <c r="C56" s="44" t="n">
        <v>6</v>
      </c>
      <c r="D56" s="12" t="n">
        <v>700</v>
      </c>
      <c r="E56" s="12" t="n">
        <v>4200</v>
      </c>
      <c r="F56" s="11" t="s">
        <v>222</v>
      </c>
      <c r="G56" s="9" t="s">
        <v>12</v>
      </c>
      <c r="H56" s="49"/>
      <c r="I56" s="49"/>
    </row>
    <row r="57" customFormat="false" ht="13.5" hidden="false" customHeight="true" outlineLevel="0" collapsed="false">
      <c r="A57" s="40" t="s">
        <v>262</v>
      </c>
      <c r="B57" s="40" t="s">
        <v>208</v>
      </c>
      <c r="C57" s="41" t="n">
        <v>15</v>
      </c>
      <c r="D57" s="42" t="n">
        <v>800</v>
      </c>
      <c r="E57" s="42" t="n">
        <v>12000</v>
      </c>
      <c r="F57" s="40" t="s">
        <v>222</v>
      </c>
      <c r="G57" s="9" t="s">
        <v>12</v>
      </c>
      <c r="H57" s="48"/>
      <c r="I57" s="48"/>
    </row>
    <row r="58" customFormat="false" ht="13.5" hidden="false" customHeight="true" outlineLevel="0" collapsed="false">
      <c r="A58" s="11" t="s">
        <v>263</v>
      </c>
      <c r="B58" s="11" t="s">
        <v>208</v>
      </c>
      <c r="C58" s="44" t="n">
        <v>2</v>
      </c>
      <c r="D58" s="12" t="n">
        <v>25000</v>
      </c>
      <c r="E58" s="12" t="n">
        <v>50000</v>
      </c>
      <c r="F58" s="11" t="s">
        <v>222</v>
      </c>
      <c r="G58" s="9" t="s">
        <v>12</v>
      </c>
      <c r="H58" s="49"/>
      <c r="I58" s="49"/>
    </row>
    <row r="59" customFormat="false" ht="13.5" hidden="false" customHeight="true" outlineLevel="0" collapsed="false">
      <c r="A59" s="40" t="s">
        <v>264</v>
      </c>
      <c r="B59" s="40" t="s">
        <v>208</v>
      </c>
      <c r="C59" s="41" t="n">
        <v>2</v>
      </c>
      <c r="D59" s="42" t="n">
        <v>3500</v>
      </c>
      <c r="E59" s="42" t="n">
        <v>7000</v>
      </c>
      <c r="F59" s="40" t="s">
        <v>222</v>
      </c>
      <c r="G59" s="9" t="s">
        <v>12</v>
      </c>
      <c r="H59" s="48"/>
      <c r="I59" s="48"/>
    </row>
    <row r="60" customFormat="false" ht="13.5" hidden="false" customHeight="true" outlineLevel="0" collapsed="false">
      <c r="A60" s="11" t="s">
        <v>265</v>
      </c>
      <c r="B60" s="11" t="s">
        <v>212</v>
      </c>
      <c r="C60" s="44" t="n">
        <v>2</v>
      </c>
      <c r="D60" s="12" t="n">
        <v>6000</v>
      </c>
      <c r="E60" s="12" t="n">
        <v>12000</v>
      </c>
      <c r="F60" s="11" t="s">
        <v>222</v>
      </c>
      <c r="G60" s="9" t="s">
        <v>12</v>
      </c>
      <c r="H60" s="49"/>
      <c r="I60" s="49"/>
    </row>
    <row r="61" customFormat="false" ht="13.5" hidden="false" customHeight="true" outlineLevel="0" collapsed="false">
      <c r="A61" s="40" t="s">
        <v>266</v>
      </c>
      <c r="B61" s="40" t="s">
        <v>212</v>
      </c>
      <c r="C61" s="41" t="n">
        <v>3</v>
      </c>
      <c r="D61" s="42" t="n">
        <v>4000</v>
      </c>
      <c r="E61" s="42" t="n">
        <v>12000</v>
      </c>
      <c r="F61" s="40" t="s">
        <v>222</v>
      </c>
      <c r="G61" s="9" t="s">
        <v>12</v>
      </c>
      <c r="H61" s="48"/>
      <c r="I61" s="48"/>
    </row>
    <row r="62" customFormat="false" ht="13.5" hidden="false" customHeight="true" outlineLevel="0" collapsed="false">
      <c r="A62" s="11" t="s">
        <v>267</v>
      </c>
      <c r="B62" s="11" t="s">
        <v>212</v>
      </c>
      <c r="C62" s="44" t="n">
        <v>6</v>
      </c>
      <c r="D62" s="12" t="n">
        <v>8000</v>
      </c>
      <c r="E62" s="12" t="n">
        <v>48000</v>
      </c>
      <c r="F62" s="11" t="s">
        <v>222</v>
      </c>
      <c r="G62" s="9" t="s">
        <v>12</v>
      </c>
      <c r="H62" s="49"/>
      <c r="I62" s="49"/>
    </row>
    <row r="63" customFormat="false" ht="13.5" hidden="false" customHeight="true" outlineLevel="0" collapsed="false">
      <c r="A63" s="40" t="s">
        <v>268</v>
      </c>
      <c r="B63" s="40" t="s">
        <v>212</v>
      </c>
      <c r="C63" s="41" t="n">
        <v>4</v>
      </c>
      <c r="D63" s="42" t="n">
        <v>3000</v>
      </c>
      <c r="E63" s="42" t="n">
        <v>12000</v>
      </c>
      <c r="F63" s="40" t="s">
        <v>222</v>
      </c>
      <c r="G63" s="9" t="s">
        <v>12</v>
      </c>
      <c r="H63" s="48"/>
      <c r="I63" s="48"/>
    </row>
    <row r="64" customFormat="false" ht="13.5" hidden="false" customHeight="true" outlineLevel="0" collapsed="false">
      <c r="A64" s="11" t="s">
        <v>269</v>
      </c>
      <c r="B64" s="11" t="s">
        <v>214</v>
      </c>
      <c r="C64" s="44" t="n">
        <v>2</v>
      </c>
      <c r="D64" s="12" t="n">
        <v>3000</v>
      </c>
      <c r="E64" s="12" t="n">
        <v>6000</v>
      </c>
      <c r="F64" s="11" t="s">
        <v>222</v>
      </c>
      <c r="G64" s="9" t="s">
        <v>12</v>
      </c>
      <c r="H64" s="49"/>
      <c r="I64" s="49"/>
    </row>
    <row r="65" customFormat="false" ht="13.5" hidden="false" customHeight="true" outlineLevel="0" collapsed="false">
      <c r="A65" s="40" t="s">
        <v>270</v>
      </c>
      <c r="B65" s="40" t="s">
        <v>214</v>
      </c>
      <c r="C65" s="41" t="n">
        <v>1</v>
      </c>
      <c r="D65" s="42" t="n">
        <v>35000</v>
      </c>
      <c r="E65" s="42" t="n">
        <v>35000</v>
      </c>
      <c r="F65" s="40" t="s">
        <v>222</v>
      </c>
      <c r="G65" s="9" t="s">
        <v>12</v>
      </c>
      <c r="H65" s="48"/>
      <c r="I65" s="48"/>
    </row>
    <row r="66" customFormat="false" ht="13.5" hidden="false" customHeight="true" outlineLevel="0" collapsed="false">
      <c r="A66" s="11" t="s">
        <v>271</v>
      </c>
      <c r="B66" s="11" t="s">
        <v>214</v>
      </c>
      <c r="C66" s="44" t="n">
        <v>3</v>
      </c>
      <c r="D66" s="12" t="n">
        <v>400</v>
      </c>
      <c r="E66" s="12" t="n">
        <v>1200</v>
      </c>
      <c r="F66" s="11" t="s">
        <v>222</v>
      </c>
      <c r="G66" s="9" t="s">
        <v>12</v>
      </c>
      <c r="H66" s="49"/>
      <c r="I66" s="49"/>
    </row>
    <row r="67" customFormat="false" ht="13.5" hidden="false" customHeight="true" outlineLevel="0" collapsed="false">
      <c r="A67" s="40" t="s">
        <v>272</v>
      </c>
      <c r="B67" s="40" t="s">
        <v>214</v>
      </c>
      <c r="C67" s="41" t="n">
        <v>2</v>
      </c>
      <c r="D67" s="42" t="n">
        <v>800</v>
      </c>
      <c r="E67" s="42" t="n">
        <v>1600</v>
      </c>
      <c r="F67" s="40" t="s">
        <v>222</v>
      </c>
      <c r="G67" s="9" t="s">
        <v>12</v>
      </c>
      <c r="H67" s="48"/>
      <c r="I67" s="48"/>
    </row>
    <row r="68" customFormat="false" ht="13.5" hidden="false" customHeight="true" outlineLevel="0" collapsed="false">
      <c r="A68" s="11" t="s">
        <v>273</v>
      </c>
      <c r="B68" s="11" t="s">
        <v>214</v>
      </c>
      <c r="C68" s="44" t="n">
        <v>3</v>
      </c>
      <c r="D68" s="12" t="n">
        <v>600</v>
      </c>
      <c r="E68" s="12" t="n">
        <v>1800</v>
      </c>
      <c r="F68" s="11" t="s">
        <v>222</v>
      </c>
      <c r="G68" s="9" t="s">
        <v>12</v>
      </c>
      <c r="H68" s="49"/>
      <c r="I68" s="49"/>
    </row>
    <row r="69" customFormat="false" ht="13.5" hidden="false" customHeight="true" outlineLevel="0" collapsed="false">
      <c r="A69" s="40" t="s">
        <v>274</v>
      </c>
      <c r="B69" s="40" t="s">
        <v>214</v>
      </c>
      <c r="C69" s="41" t="n">
        <v>2</v>
      </c>
      <c r="D69" s="42" t="n">
        <v>800</v>
      </c>
      <c r="E69" s="42" t="n">
        <v>1600</v>
      </c>
      <c r="F69" s="40" t="s">
        <v>222</v>
      </c>
      <c r="G69" s="9" t="s">
        <v>12</v>
      </c>
      <c r="H69" s="48"/>
      <c r="I69" s="48"/>
    </row>
    <row r="70" customFormat="false" ht="13.5" hidden="false" customHeight="true" outlineLevel="0" collapsed="false">
      <c r="A70" s="11" t="s">
        <v>275</v>
      </c>
      <c r="B70" s="11" t="s">
        <v>214</v>
      </c>
      <c r="C70" s="44" t="n">
        <v>3</v>
      </c>
      <c r="D70" s="12" t="n">
        <v>500</v>
      </c>
      <c r="E70" s="12" t="n">
        <v>1500</v>
      </c>
      <c r="F70" s="11" t="s">
        <v>222</v>
      </c>
      <c r="G70" s="9" t="s">
        <v>12</v>
      </c>
      <c r="H70" s="49"/>
      <c r="I70" s="49"/>
    </row>
    <row r="71" customFormat="false" ht="13.5" hidden="false" customHeight="true" outlineLevel="0" collapsed="false">
      <c r="A71" s="40" t="s">
        <v>276</v>
      </c>
      <c r="B71" s="40" t="s">
        <v>214</v>
      </c>
      <c r="C71" s="41" t="n">
        <v>2</v>
      </c>
      <c r="D71" s="42" t="n">
        <v>4500</v>
      </c>
      <c r="E71" s="42" t="n">
        <v>9000</v>
      </c>
      <c r="F71" s="40" t="s">
        <v>222</v>
      </c>
      <c r="G71" s="9" t="s">
        <v>12</v>
      </c>
      <c r="H71" s="48"/>
      <c r="I71" s="48"/>
    </row>
    <row r="72" customFormat="false" ht="13.5" hidden="false" customHeight="true" outlineLevel="0" collapsed="false">
      <c r="A72" s="11" t="s">
        <v>277</v>
      </c>
      <c r="B72" s="11" t="s">
        <v>213</v>
      </c>
      <c r="C72" s="44" t="n">
        <v>1</v>
      </c>
      <c r="D72" s="12" t="n">
        <v>5500</v>
      </c>
      <c r="E72" s="12" t="n">
        <v>5500</v>
      </c>
      <c r="F72" s="11" t="s">
        <v>222</v>
      </c>
      <c r="G72" s="9" t="s">
        <v>12</v>
      </c>
      <c r="H72" s="49"/>
      <c r="I72" s="49"/>
    </row>
    <row r="73" customFormat="false" ht="13.5" hidden="false" customHeight="true" outlineLevel="0" collapsed="false">
      <c r="A73" s="40" t="s">
        <v>278</v>
      </c>
      <c r="B73" s="40" t="s">
        <v>213</v>
      </c>
      <c r="C73" s="41" t="n">
        <v>4</v>
      </c>
      <c r="D73" s="42" t="n">
        <v>600</v>
      </c>
      <c r="E73" s="42" t="n">
        <v>2400</v>
      </c>
      <c r="F73" s="40" t="s">
        <v>222</v>
      </c>
      <c r="G73" s="9" t="s">
        <v>12</v>
      </c>
      <c r="H73" s="48"/>
      <c r="I73" s="48"/>
    </row>
    <row r="74" customFormat="false" ht="13.5" hidden="false" customHeight="true" outlineLevel="0" collapsed="false">
      <c r="A74" s="11" t="s">
        <v>279</v>
      </c>
      <c r="B74" s="11" t="s">
        <v>213</v>
      </c>
      <c r="C74" s="44" t="n">
        <v>4</v>
      </c>
      <c r="D74" s="12" t="n">
        <v>3500</v>
      </c>
      <c r="E74" s="12" t="n">
        <v>14000</v>
      </c>
      <c r="F74" s="11" t="s">
        <v>222</v>
      </c>
      <c r="G74" s="9" t="s">
        <v>12</v>
      </c>
      <c r="H74" s="49"/>
      <c r="I74" s="49"/>
    </row>
    <row r="75" customFormat="false" ht="13.5" hidden="false" customHeight="true" outlineLevel="0" collapsed="false">
      <c r="A75" s="40" t="s">
        <v>280</v>
      </c>
      <c r="B75" s="40" t="s">
        <v>213</v>
      </c>
      <c r="C75" s="41" t="n">
        <v>3</v>
      </c>
      <c r="D75" s="42" t="n">
        <v>2000</v>
      </c>
      <c r="E75" s="42" t="n">
        <v>6000</v>
      </c>
      <c r="F75" s="40" t="s">
        <v>222</v>
      </c>
      <c r="G75" s="9" t="s">
        <v>12</v>
      </c>
      <c r="H75" s="48"/>
      <c r="I75" s="48"/>
    </row>
    <row r="76" customFormat="false" ht="13.5" hidden="false" customHeight="true" outlineLevel="0" collapsed="false">
      <c r="A76" s="11" t="s">
        <v>281</v>
      </c>
      <c r="B76" s="11" t="s">
        <v>213</v>
      </c>
      <c r="C76" s="44" t="n">
        <v>2</v>
      </c>
      <c r="D76" s="12" t="n">
        <v>2500</v>
      </c>
      <c r="E76" s="12" t="n">
        <v>5000</v>
      </c>
      <c r="F76" s="11" t="s">
        <v>222</v>
      </c>
      <c r="G76" s="9" t="s">
        <v>12</v>
      </c>
      <c r="H76" s="49"/>
      <c r="I76" s="49"/>
    </row>
    <row r="77" customFormat="false" ht="13.5" hidden="false" customHeight="true" outlineLevel="0" collapsed="false">
      <c r="A77" s="40" t="s">
        <v>282</v>
      </c>
      <c r="B77" s="40" t="s">
        <v>213</v>
      </c>
      <c r="C77" s="41" t="n">
        <v>3</v>
      </c>
      <c r="D77" s="42" t="n">
        <v>1500</v>
      </c>
      <c r="E77" s="42" t="n">
        <v>4500</v>
      </c>
      <c r="F77" s="40" t="s">
        <v>222</v>
      </c>
      <c r="G77" s="9" t="s">
        <v>12</v>
      </c>
      <c r="H77" s="48"/>
      <c r="I77" s="48"/>
    </row>
    <row r="78" customFormat="false" ht="13.5" hidden="false" customHeight="true" outlineLevel="0" collapsed="false">
      <c r="A78" s="11" t="s">
        <v>283</v>
      </c>
      <c r="B78" s="11" t="s">
        <v>213</v>
      </c>
      <c r="C78" s="44" t="n">
        <v>2</v>
      </c>
      <c r="D78" s="12" t="n">
        <v>800</v>
      </c>
      <c r="E78" s="12" t="n">
        <v>1600</v>
      </c>
      <c r="F78" s="11" t="s">
        <v>222</v>
      </c>
      <c r="G78" s="9" t="s">
        <v>12</v>
      </c>
      <c r="H78" s="49"/>
      <c r="I78" s="49"/>
    </row>
    <row r="79" customFormat="false" ht="13.5" hidden="false" customHeight="true" outlineLevel="0" collapsed="false">
      <c r="A79" s="40" t="s">
        <v>284</v>
      </c>
      <c r="B79" s="40" t="s">
        <v>213</v>
      </c>
      <c r="C79" s="41" t="n">
        <v>2</v>
      </c>
      <c r="D79" s="42" t="n">
        <v>2500</v>
      </c>
      <c r="E79" s="42" t="n">
        <v>5000</v>
      </c>
      <c r="F79" s="40" t="s">
        <v>222</v>
      </c>
      <c r="G79" s="9" t="s">
        <v>12</v>
      </c>
      <c r="H79" s="48"/>
      <c r="I79" s="48"/>
    </row>
    <row r="80" customFormat="false" ht="13.5" hidden="false" customHeight="true" outlineLevel="0" collapsed="false">
      <c r="A80" s="11" t="s">
        <v>285</v>
      </c>
      <c r="B80" s="11" t="s">
        <v>213</v>
      </c>
      <c r="C80" s="44" t="n">
        <v>1</v>
      </c>
      <c r="D80" s="12" t="n">
        <v>12000</v>
      </c>
      <c r="E80" s="12" t="n">
        <v>12000</v>
      </c>
      <c r="F80" s="11" t="s">
        <v>222</v>
      </c>
      <c r="G80" s="9" t="s">
        <v>12</v>
      </c>
      <c r="H80" s="49"/>
      <c r="I80" s="49"/>
    </row>
    <row r="81" customFormat="false" ht="13.5" hidden="false" customHeight="true" outlineLevel="0" collapsed="false">
      <c r="A81" s="40" t="s">
        <v>286</v>
      </c>
      <c r="B81" s="40" t="s">
        <v>213</v>
      </c>
      <c r="C81" s="41" t="n">
        <v>10</v>
      </c>
      <c r="D81" s="42" t="n">
        <v>200</v>
      </c>
      <c r="E81" s="42" t="n">
        <v>2000</v>
      </c>
      <c r="F81" s="40" t="s">
        <v>222</v>
      </c>
      <c r="G81" s="9" t="s">
        <v>12</v>
      </c>
      <c r="H81" s="48"/>
      <c r="I81" s="48"/>
    </row>
    <row r="82" customFormat="false" ht="13.5" hidden="false" customHeight="true" outlineLevel="0" collapsed="false">
      <c r="A82" s="11" t="s">
        <v>287</v>
      </c>
      <c r="B82" s="11" t="s">
        <v>213</v>
      </c>
      <c r="C82" s="44" t="n">
        <v>3</v>
      </c>
      <c r="D82" s="12" t="n">
        <v>3000</v>
      </c>
      <c r="E82" s="12" t="n">
        <v>9000</v>
      </c>
      <c r="F82" s="11" t="s">
        <v>222</v>
      </c>
      <c r="G82" s="9" t="s">
        <v>12</v>
      </c>
      <c r="H82" s="49"/>
      <c r="I82" s="49"/>
    </row>
    <row r="83" customFormat="false" ht="13.5" hidden="false" customHeight="true" outlineLevel="0" collapsed="false">
      <c r="A83" s="40" t="s">
        <v>288</v>
      </c>
      <c r="B83" s="40" t="s">
        <v>213</v>
      </c>
      <c r="C83" s="41" t="n">
        <v>1</v>
      </c>
      <c r="D83" s="42" t="n">
        <v>8000</v>
      </c>
      <c r="E83" s="42" t="n">
        <v>8000</v>
      </c>
      <c r="F83" s="40" t="s">
        <v>222</v>
      </c>
      <c r="G83" s="9" t="s">
        <v>12</v>
      </c>
      <c r="H83" s="48"/>
      <c r="I83" s="48"/>
    </row>
    <row r="84" customFormat="false" ht="13.5" hidden="false" customHeight="true" outlineLevel="0" collapsed="false">
      <c r="A84" s="11" t="s">
        <v>289</v>
      </c>
      <c r="B84" s="11" t="s">
        <v>210</v>
      </c>
      <c r="C84" s="44" t="n">
        <v>10</v>
      </c>
      <c r="D84" s="12" t="n">
        <v>800</v>
      </c>
      <c r="E84" s="12" t="n">
        <v>8000</v>
      </c>
      <c r="F84" s="11" t="s">
        <v>222</v>
      </c>
      <c r="G84" s="9" t="s">
        <v>12</v>
      </c>
      <c r="H84" s="49"/>
      <c r="I84" s="49"/>
    </row>
    <row r="85" customFormat="false" ht="13.5" hidden="false" customHeight="true" outlineLevel="0" collapsed="false">
      <c r="A85" s="40" t="s">
        <v>290</v>
      </c>
      <c r="B85" s="40" t="s">
        <v>210</v>
      </c>
      <c r="C85" s="41" t="n">
        <v>6</v>
      </c>
      <c r="D85" s="42" t="n">
        <v>2500</v>
      </c>
      <c r="E85" s="42" t="n">
        <v>15000</v>
      </c>
      <c r="F85" s="40" t="s">
        <v>222</v>
      </c>
      <c r="G85" s="9" t="s">
        <v>12</v>
      </c>
      <c r="H85" s="48"/>
      <c r="I85" s="48"/>
    </row>
    <row r="86" customFormat="false" ht="13.5" hidden="false" customHeight="true" outlineLevel="0" collapsed="false">
      <c r="A86" s="11" t="s">
        <v>291</v>
      </c>
      <c r="B86" s="11" t="s">
        <v>210</v>
      </c>
      <c r="C86" s="44" t="n">
        <v>120</v>
      </c>
      <c r="D86" s="12" t="n">
        <v>80</v>
      </c>
      <c r="E86" s="12" t="n">
        <v>9600</v>
      </c>
      <c r="F86" s="11" t="s">
        <v>222</v>
      </c>
      <c r="G86" s="9" t="s">
        <v>12</v>
      </c>
      <c r="H86" s="49"/>
      <c r="I86" s="49"/>
    </row>
    <row r="87" customFormat="false" ht="13.5" hidden="false" customHeight="true" outlineLevel="0" collapsed="false">
      <c r="A87" s="40" t="s">
        <v>292</v>
      </c>
      <c r="B87" s="40" t="s">
        <v>210</v>
      </c>
      <c r="C87" s="41" t="n">
        <v>120</v>
      </c>
      <c r="D87" s="42" t="n">
        <v>350</v>
      </c>
      <c r="E87" s="42" t="n">
        <v>42000</v>
      </c>
      <c r="F87" s="40" t="s">
        <v>222</v>
      </c>
      <c r="G87" s="9" t="s">
        <v>12</v>
      </c>
      <c r="H87" s="48"/>
      <c r="I87" s="48"/>
    </row>
    <row r="88" customFormat="false" ht="13.5" hidden="false" customHeight="true" outlineLevel="0" collapsed="false">
      <c r="A88" s="11" t="s">
        <v>293</v>
      </c>
      <c r="B88" s="11" t="s">
        <v>210</v>
      </c>
      <c r="C88" s="44" t="n">
        <v>60</v>
      </c>
      <c r="D88" s="12" t="n">
        <v>120</v>
      </c>
      <c r="E88" s="12" t="n">
        <v>7200</v>
      </c>
      <c r="F88" s="11" t="s">
        <v>222</v>
      </c>
      <c r="G88" s="9" t="s">
        <v>12</v>
      </c>
      <c r="H88" s="49"/>
      <c r="I88" s="49"/>
    </row>
    <row r="89" customFormat="false" ht="13.5" hidden="false" customHeight="true" outlineLevel="0" collapsed="false">
      <c r="A89" s="40" t="s">
        <v>294</v>
      </c>
      <c r="B89" s="40" t="s">
        <v>210</v>
      </c>
      <c r="C89" s="41" t="n">
        <v>120</v>
      </c>
      <c r="D89" s="42" t="n">
        <v>100</v>
      </c>
      <c r="E89" s="42" t="n">
        <v>12000</v>
      </c>
      <c r="F89" s="40" t="s">
        <v>222</v>
      </c>
      <c r="G89" s="9" t="s">
        <v>12</v>
      </c>
      <c r="H89" s="48"/>
      <c r="I89" s="48"/>
    </row>
    <row r="90" customFormat="false" ht="13.5" hidden="false" customHeight="true" outlineLevel="0" collapsed="false">
      <c r="A90" s="11" t="s">
        <v>295</v>
      </c>
      <c r="B90" s="11" t="s">
        <v>210</v>
      </c>
      <c r="C90" s="44" t="n">
        <v>10</v>
      </c>
      <c r="D90" s="12" t="n">
        <v>1200</v>
      </c>
      <c r="E90" s="12" t="n">
        <v>12000</v>
      </c>
      <c r="F90" s="11" t="s">
        <v>222</v>
      </c>
      <c r="G90" s="9" t="s">
        <v>12</v>
      </c>
      <c r="H90" s="49"/>
      <c r="I90" s="49"/>
    </row>
    <row r="91" customFormat="false" ht="13.5" hidden="false" customHeight="true" outlineLevel="0" collapsed="false">
      <c r="A91" s="40" t="s">
        <v>296</v>
      </c>
      <c r="B91" s="40" t="s">
        <v>210</v>
      </c>
      <c r="C91" s="41" t="n">
        <v>12</v>
      </c>
      <c r="D91" s="42" t="n">
        <v>2000</v>
      </c>
      <c r="E91" s="42" t="n">
        <v>24000</v>
      </c>
      <c r="F91" s="40" t="s">
        <v>222</v>
      </c>
      <c r="G91" s="9" t="s">
        <v>12</v>
      </c>
      <c r="H91" s="48"/>
      <c r="I91" s="48"/>
    </row>
    <row r="92" customFormat="false" ht="13.5" hidden="false" customHeight="true" outlineLevel="0" collapsed="false">
      <c r="A92" s="11" t="s">
        <v>297</v>
      </c>
      <c r="B92" s="11" t="s">
        <v>210</v>
      </c>
      <c r="C92" s="44" t="n">
        <v>6</v>
      </c>
      <c r="D92" s="12" t="n">
        <v>500</v>
      </c>
      <c r="E92" s="12" t="n">
        <v>3000</v>
      </c>
      <c r="F92" s="11" t="s">
        <v>222</v>
      </c>
      <c r="G92" s="9" t="s">
        <v>12</v>
      </c>
      <c r="H92" s="49"/>
      <c r="I92" s="49"/>
    </row>
    <row r="93" customFormat="false" ht="13.5" hidden="false" customHeight="true" outlineLevel="0" collapsed="false">
      <c r="A93" s="40" t="s">
        <v>298</v>
      </c>
      <c r="B93" s="40" t="s">
        <v>210</v>
      </c>
      <c r="C93" s="41" t="n">
        <v>20</v>
      </c>
      <c r="D93" s="42" t="n">
        <v>1200</v>
      </c>
      <c r="E93" s="42" t="n">
        <v>24000</v>
      </c>
      <c r="F93" s="40" t="s">
        <v>222</v>
      </c>
      <c r="G93" s="9" t="s">
        <v>12</v>
      </c>
      <c r="H93" s="48"/>
      <c r="I93" s="48"/>
    </row>
    <row r="95" customFormat="false" ht="15.75" hidden="false" customHeight="true" outlineLevel="0" collapsed="false">
      <c r="A95" s="5" t="s">
        <v>299</v>
      </c>
      <c r="B95" s="5"/>
      <c r="C95" s="5"/>
      <c r="D95" s="5"/>
      <c r="E95" s="5"/>
      <c r="F95" s="5"/>
      <c r="G95" s="5"/>
      <c r="H95" s="5"/>
      <c r="I95" s="5"/>
    </row>
    <row r="96" customFormat="false" ht="30" hidden="false" customHeight="true" outlineLevel="0" collapsed="false">
      <c r="A96" s="3" t="s">
        <v>300</v>
      </c>
      <c r="B96" s="3" t="s">
        <v>301</v>
      </c>
      <c r="C96" s="3" t="s">
        <v>302</v>
      </c>
      <c r="D96" s="4" t="s">
        <v>303</v>
      </c>
      <c r="E96" s="3" t="s">
        <v>6</v>
      </c>
      <c r="F96" s="3" t="s">
        <v>7</v>
      </c>
      <c r="G96" s="3" t="s">
        <v>8</v>
      </c>
      <c r="H96" s="3"/>
      <c r="I96" s="3"/>
    </row>
    <row r="97" customFormat="false" ht="13.5" hidden="false" customHeight="true" outlineLevel="0" collapsed="false">
      <c r="A97" s="40" t="s">
        <v>304</v>
      </c>
      <c r="B97" s="41" t="n">
        <v>8</v>
      </c>
      <c r="C97" s="41" t="n">
        <v>6</v>
      </c>
      <c r="D97" s="41" t="n">
        <v>8</v>
      </c>
      <c r="E97" s="41" t="n">
        <v>0</v>
      </c>
      <c r="F97" s="9" t="s">
        <v>12</v>
      </c>
      <c r="G97" s="43"/>
      <c r="H97" s="48"/>
      <c r="I97" s="48"/>
    </row>
    <row r="98" customFormat="false" ht="13.5" hidden="false" customHeight="true" outlineLevel="0" collapsed="false">
      <c r="A98" s="11" t="s">
        <v>305</v>
      </c>
      <c r="B98" s="44" t="n">
        <v>48</v>
      </c>
      <c r="C98" s="44" t="n">
        <v>113</v>
      </c>
      <c r="D98" s="44" t="n">
        <v>46</v>
      </c>
      <c r="E98" s="53" t="n">
        <v>-2</v>
      </c>
      <c r="F98" s="27" t="s">
        <v>29</v>
      </c>
      <c r="G98" s="54" t="s">
        <v>306</v>
      </c>
      <c r="H98" s="49"/>
      <c r="I98" s="49"/>
    </row>
    <row r="99" customFormat="false" ht="13.5" hidden="false" customHeight="true" outlineLevel="0" collapsed="false">
      <c r="A99" s="40" t="s">
        <v>307</v>
      </c>
      <c r="B99" s="41" t="n">
        <v>9</v>
      </c>
      <c r="C99" s="41" t="n">
        <v>21</v>
      </c>
      <c r="D99" s="41" t="n">
        <v>8</v>
      </c>
      <c r="E99" s="55" t="n">
        <v>-1</v>
      </c>
      <c r="F99" s="27" t="s">
        <v>29</v>
      </c>
      <c r="G99" s="54" t="s">
        <v>308</v>
      </c>
      <c r="H99" s="48"/>
      <c r="I99" s="48"/>
    </row>
    <row r="100" customFormat="false" ht="13.5" hidden="false" customHeight="true" outlineLevel="0" collapsed="false">
      <c r="A100" s="11" t="s">
        <v>309</v>
      </c>
      <c r="B100" s="44" t="n">
        <v>11</v>
      </c>
      <c r="C100" s="44" t="n">
        <v>30</v>
      </c>
      <c r="D100" s="44" t="n">
        <v>11</v>
      </c>
      <c r="E100" s="44" t="n">
        <v>0</v>
      </c>
      <c r="F100" s="9" t="s">
        <v>12</v>
      </c>
      <c r="G100" s="45"/>
      <c r="H100" s="49"/>
      <c r="I100" s="49"/>
    </row>
    <row r="101" customFormat="false" ht="13.5" hidden="false" customHeight="true" outlineLevel="0" collapsed="false">
      <c r="A101" s="40" t="s">
        <v>310</v>
      </c>
      <c r="B101" s="41" t="n">
        <v>117</v>
      </c>
      <c r="C101" s="41" t="n">
        <v>2229</v>
      </c>
      <c r="D101" s="41" t="n">
        <v>117</v>
      </c>
      <c r="E101" s="41" t="n">
        <v>0</v>
      </c>
      <c r="F101" s="9" t="s">
        <v>12</v>
      </c>
      <c r="G101" s="43"/>
      <c r="H101" s="48"/>
      <c r="I101" s="48"/>
    </row>
  </sheetData>
  <mergeCells count="5">
    <mergeCell ref="A1:I1"/>
    <mergeCell ref="A2:I2"/>
    <mergeCell ref="A3:I3"/>
    <mergeCell ref="A15:I15"/>
    <mergeCell ref="A95:I9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311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312</v>
      </c>
      <c r="B2" s="2"/>
      <c r="C2" s="2"/>
      <c r="D2" s="2"/>
      <c r="E2" s="2"/>
      <c r="F2" s="2"/>
      <c r="G2" s="2"/>
      <c r="H2" s="2"/>
    </row>
    <row r="3" customFormat="false" ht="15.75" hidden="false" customHeight="true" outlineLevel="0" collapsed="false">
      <c r="A3" s="5" t="s">
        <v>313</v>
      </c>
      <c r="B3" s="5"/>
      <c r="C3" s="5"/>
      <c r="D3" s="5"/>
      <c r="E3" s="5"/>
      <c r="F3" s="5"/>
      <c r="G3" s="5"/>
      <c r="H3" s="5"/>
    </row>
    <row r="4" customFormat="false" ht="30" hidden="false" customHeight="true" outlineLevel="0" collapsed="false">
      <c r="A4" s="3" t="s">
        <v>314</v>
      </c>
      <c r="B4" s="3" t="s">
        <v>315</v>
      </c>
      <c r="C4" s="3" t="s">
        <v>316</v>
      </c>
      <c r="D4" s="3" t="s">
        <v>317</v>
      </c>
      <c r="E4" s="3" t="s">
        <v>318</v>
      </c>
      <c r="F4" s="3" t="s">
        <v>319</v>
      </c>
      <c r="G4" s="3" t="s">
        <v>8</v>
      </c>
      <c r="H4" s="3"/>
    </row>
    <row r="5" customFormat="false" ht="13.5" hidden="false" customHeight="true" outlineLevel="0" collapsed="false">
      <c r="A5" s="40" t="s">
        <v>320</v>
      </c>
      <c r="B5" s="40" t="s">
        <v>321</v>
      </c>
      <c r="C5" s="41" t="n">
        <v>645</v>
      </c>
      <c r="D5" s="41" t="n">
        <v>9</v>
      </c>
      <c r="E5" s="41" t="n">
        <v>636</v>
      </c>
      <c r="F5" s="50" t="n">
        <v>0.013953488372093</v>
      </c>
      <c r="G5" s="43"/>
      <c r="H5" s="48"/>
    </row>
    <row r="6" customFormat="false" ht="13.5" hidden="false" customHeight="true" outlineLevel="0" collapsed="false">
      <c r="A6" s="11" t="s">
        <v>322</v>
      </c>
      <c r="B6" s="11" t="s">
        <v>323</v>
      </c>
      <c r="C6" s="44" t="n">
        <v>793</v>
      </c>
      <c r="D6" s="44" t="n">
        <v>11</v>
      </c>
      <c r="E6" s="44" t="n">
        <v>782</v>
      </c>
      <c r="F6" s="51" t="n">
        <v>0.0138713745271122</v>
      </c>
      <c r="G6" s="45"/>
      <c r="H6" s="49"/>
    </row>
    <row r="7" customFormat="false" ht="13.5" hidden="false" customHeight="true" outlineLevel="0" collapsed="false">
      <c r="A7" s="40" t="s">
        <v>324</v>
      </c>
      <c r="B7" s="40" t="s">
        <v>325</v>
      </c>
      <c r="C7" s="41" t="n">
        <v>893</v>
      </c>
      <c r="D7" s="41" t="n">
        <v>11</v>
      </c>
      <c r="E7" s="41" t="n">
        <v>882</v>
      </c>
      <c r="F7" s="50" t="n">
        <v>0.0123180291153415</v>
      </c>
      <c r="G7" s="43"/>
      <c r="H7" s="48"/>
    </row>
    <row r="8" customFormat="false" ht="13.5" hidden="false" customHeight="true" outlineLevel="0" collapsed="false">
      <c r="A8" s="11" t="s">
        <v>326</v>
      </c>
      <c r="B8" s="11" t="s">
        <v>327</v>
      </c>
      <c r="C8" s="44" t="n">
        <v>1072</v>
      </c>
      <c r="D8" s="44" t="n">
        <v>26</v>
      </c>
      <c r="E8" s="44" t="n">
        <v>1046</v>
      </c>
      <c r="F8" s="51" t="n">
        <v>0.0242537313432836</v>
      </c>
      <c r="G8" s="45" t="s">
        <v>328</v>
      </c>
      <c r="H8" s="49"/>
    </row>
    <row r="9" customFormat="false" ht="13.5" hidden="false" customHeight="true" outlineLevel="0" collapsed="false">
      <c r="A9" s="40" t="s">
        <v>329</v>
      </c>
      <c r="B9" s="40" t="s">
        <v>330</v>
      </c>
      <c r="C9" s="41" t="n">
        <v>1046</v>
      </c>
      <c r="D9" s="41" t="n">
        <v>11</v>
      </c>
      <c r="E9" s="41" t="n">
        <v>1035</v>
      </c>
      <c r="F9" s="50" t="n">
        <v>0.0105162523900574</v>
      </c>
      <c r="G9" s="43"/>
      <c r="H9" s="48"/>
    </row>
    <row r="10" customFormat="false" ht="13.5" hidden="false" customHeight="true" outlineLevel="0" collapsed="false">
      <c r="A10" s="11" t="s">
        <v>331</v>
      </c>
      <c r="B10" s="11" t="s">
        <v>332</v>
      </c>
      <c r="C10" s="44" t="n">
        <v>1050</v>
      </c>
      <c r="D10" s="44" t="n">
        <v>22</v>
      </c>
      <c r="E10" s="44" t="n">
        <v>1028</v>
      </c>
      <c r="F10" s="51" t="n">
        <v>0.020952380952381</v>
      </c>
      <c r="G10" s="45" t="s">
        <v>333</v>
      </c>
      <c r="H10" s="49"/>
    </row>
    <row r="11" customFormat="false" ht="13.5" hidden="false" customHeight="true" outlineLevel="0" collapsed="false">
      <c r="A11" s="40" t="s">
        <v>334</v>
      </c>
      <c r="B11" s="40" t="s">
        <v>335</v>
      </c>
      <c r="C11" s="41" t="n">
        <v>1051</v>
      </c>
      <c r="D11" s="41" t="n">
        <v>11</v>
      </c>
      <c r="E11" s="41" t="n">
        <v>1040</v>
      </c>
      <c r="F11" s="50" t="n">
        <v>0.0104662226450999</v>
      </c>
      <c r="G11" s="43"/>
      <c r="H11" s="48"/>
    </row>
    <row r="12" customFormat="false" ht="13.5" hidden="false" customHeight="true" outlineLevel="0" collapsed="false">
      <c r="A12" s="11" t="s">
        <v>336</v>
      </c>
      <c r="B12" s="11" t="s">
        <v>337</v>
      </c>
      <c r="C12" s="44" t="n">
        <v>1041</v>
      </c>
      <c r="D12" s="44" t="n">
        <v>18</v>
      </c>
      <c r="E12" s="44" t="n">
        <v>1023</v>
      </c>
      <c r="F12" s="51" t="n">
        <v>0.0172910662824208</v>
      </c>
      <c r="G12" s="45"/>
      <c r="H12" s="49"/>
    </row>
    <row r="13" customFormat="false" ht="13.5" hidden="false" customHeight="true" outlineLevel="0" collapsed="false">
      <c r="A13" s="40" t="s">
        <v>338</v>
      </c>
      <c r="B13" s="40" t="s">
        <v>339</v>
      </c>
      <c r="C13" s="41" t="n">
        <v>1075</v>
      </c>
      <c r="D13" s="41" t="n">
        <v>26</v>
      </c>
      <c r="E13" s="41" t="n">
        <v>1049</v>
      </c>
      <c r="F13" s="50" t="n">
        <v>0.0241860465116279</v>
      </c>
      <c r="G13" s="43" t="s">
        <v>340</v>
      </c>
      <c r="H13" s="48"/>
    </row>
    <row r="14" customFormat="false" ht="13.5" hidden="false" customHeight="true" outlineLevel="0" collapsed="false">
      <c r="A14" s="11" t="s">
        <v>341</v>
      </c>
      <c r="B14" s="11" t="s">
        <v>342</v>
      </c>
      <c r="C14" s="44" t="n">
        <v>978</v>
      </c>
      <c r="D14" s="44" t="n">
        <v>25</v>
      </c>
      <c r="E14" s="44" t="n">
        <v>953</v>
      </c>
      <c r="F14" s="51" t="n">
        <v>0.0255623721881391</v>
      </c>
      <c r="G14" s="45"/>
      <c r="H14" s="49"/>
    </row>
    <row r="15" customFormat="false" ht="13.5" hidden="false" customHeight="true" outlineLevel="0" collapsed="false">
      <c r="A15" s="40" t="s">
        <v>343</v>
      </c>
      <c r="B15" s="40" t="s">
        <v>344</v>
      </c>
      <c r="C15" s="41" t="n">
        <v>1125</v>
      </c>
      <c r="D15" s="41" t="n">
        <v>18</v>
      </c>
      <c r="E15" s="41" t="n">
        <v>1107</v>
      </c>
      <c r="F15" s="50" t="n">
        <v>0.016</v>
      </c>
      <c r="G15" s="43"/>
      <c r="H15" s="48"/>
    </row>
    <row r="16" customFormat="false" ht="13.5" hidden="false" customHeight="true" outlineLevel="0" collapsed="false">
      <c r="A16" s="11" t="s">
        <v>345</v>
      </c>
      <c r="B16" s="11" t="s">
        <v>346</v>
      </c>
      <c r="C16" s="44" t="n">
        <v>984</v>
      </c>
      <c r="D16" s="44" t="n">
        <v>15</v>
      </c>
      <c r="E16" s="44" t="n">
        <v>969</v>
      </c>
      <c r="F16" s="51" t="n">
        <v>0.0152439024390244</v>
      </c>
      <c r="G16" s="45"/>
      <c r="H16" s="49"/>
    </row>
    <row r="17" customFormat="false" ht="13.5" hidden="false" customHeight="true" outlineLevel="0" collapsed="false">
      <c r="A17" s="40" t="s">
        <v>347</v>
      </c>
      <c r="B17" s="40" t="s">
        <v>348</v>
      </c>
      <c r="C17" s="41" t="n">
        <v>973</v>
      </c>
      <c r="D17" s="41" t="n">
        <v>10</v>
      </c>
      <c r="E17" s="41" t="n">
        <v>963</v>
      </c>
      <c r="F17" s="50" t="n">
        <v>0.0102774922918808</v>
      </c>
      <c r="G17" s="43" t="s">
        <v>349</v>
      </c>
      <c r="H17" s="48"/>
    </row>
    <row r="18" customFormat="false" ht="13.5" hidden="false" customHeight="true" outlineLevel="0" collapsed="false">
      <c r="A18" s="11" t="s">
        <v>350</v>
      </c>
      <c r="B18" s="11" t="s">
        <v>351</v>
      </c>
      <c r="C18" s="44" t="n">
        <v>1105</v>
      </c>
      <c r="D18" s="44" t="n">
        <v>22</v>
      </c>
      <c r="E18" s="44" t="n">
        <v>1083</v>
      </c>
      <c r="F18" s="51" t="n">
        <v>0.0199095022624434</v>
      </c>
      <c r="G18" s="45"/>
      <c r="H18" s="49"/>
    </row>
    <row r="19" customFormat="false" ht="13.5" hidden="false" customHeight="true" outlineLevel="0" collapsed="false">
      <c r="A19" s="40" t="s">
        <v>352</v>
      </c>
      <c r="B19" s="40" t="s">
        <v>353</v>
      </c>
      <c r="C19" s="41" t="n">
        <v>1011</v>
      </c>
      <c r="D19" s="41" t="n">
        <v>21</v>
      </c>
      <c r="E19" s="41" t="n">
        <v>990</v>
      </c>
      <c r="F19" s="50" t="n">
        <v>0.0207715133531157</v>
      </c>
      <c r="G19" s="43"/>
      <c r="H19" s="48"/>
    </row>
    <row r="20" customFormat="false" ht="13.5" hidden="false" customHeight="true" outlineLevel="0" collapsed="false">
      <c r="A20" s="11" t="s">
        <v>354</v>
      </c>
      <c r="B20" s="11" t="s">
        <v>355</v>
      </c>
      <c r="C20" s="44" t="n">
        <v>1007</v>
      </c>
      <c r="D20" s="44" t="n">
        <v>23</v>
      </c>
      <c r="E20" s="44" t="n">
        <v>984</v>
      </c>
      <c r="F20" s="51" t="n">
        <v>0.0228401191658391</v>
      </c>
      <c r="G20" s="45" t="s">
        <v>356</v>
      </c>
      <c r="H20" s="49"/>
    </row>
    <row r="21" customFormat="false" ht="13.5" hidden="false" customHeight="true" outlineLevel="0" collapsed="false">
      <c r="A21" s="40" t="s">
        <v>357</v>
      </c>
      <c r="B21" s="40" t="s">
        <v>358</v>
      </c>
      <c r="C21" s="41" t="n">
        <v>909</v>
      </c>
      <c r="D21" s="41" t="n">
        <v>17</v>
      </c>
      <c r="E21" s="41" t="n">
        <v>892</v>
      </c>
      <c r="F21" s="50" t="n">
        <v>0.0187018701870187</v>
      </c>
      <c r="G21" s="43"/>
      <c r="H21" s="48"/>
    </row>
    <row r="22" customFormat="false" ht="13.5" hidden="false" customHeight="true" outlineLevel="0" collapsed="false">
      <c r="A22" s="11" t="s">
        <v>359</v>
      </c>
      <c r="B22" s="11" t="s">
        <v>360</v>
      </c>
      <c r="C22" s="44" t="n">
        <v>949</v>
      </c>
      <c r="D22" s="44" t="n">
        <v>19</v>
      </c>
      <c r="E22" s="44" t="n">
        <v>930</v>
      </c>
      <c r="F22" s="51" t="n">
        <v>0.0200210748155954</v>
      </c>
      <c r="G22" s="45"/>
      <c r="H22" s="49"/>
    </row>
    <row r="23" customFormat="false" ht="13.5" hidden="false" customHeight="true" outlineLevel="0" collapsed="false">
      <c r="A23" s="40" t="s">
        <v>361</v>
      </c>
      <c r="B23" s="40" t="s">
        <v>362</v>
      </c>
      <c r="C23" s="41" t="n">
        <v>1032</v>
      </c>
      <c r="D23" s="41" t="n">
        <v>12</v>
      </c>
      <c r="E23" s="41" t="n">
        <v>1020</v>
      </c>
      <c r="F23" s="50" t="n">
        <v>0.0116279069767442</v>
      </c>
      <c r="G23" s="43"/>
      <c r="H23" s="48"/>
    </row>
    <row r="24" customFormat="false" ht="13.5" hidden="false" customHeight="true" outlineLevel="0" collapsed="false">
      <c r="A24" s="11" t="s">
        <v>363</v>
      </c>
      <c r="B24" s="11" t="s">
        <v>364</v>
      </c>
      <c r="C24" s="44" t="n">
        <v>957</v>
      </c>
      <c r="D24" s="44" t="n">
        <v>10</v>
      </c>
      <c r="E24" s="44" t="n">
        <v>947</v>
      </c>
      <c r="F24" s="51" t="n">
        <v>0.0104493207941484</v>
      </c>
      <c r="G24" s="45" t="s">
        <v>365</v>
      </c>
      <c r="H24" s="49"/>
    </row>
    <row r="25" customFormat="false" ht="13.5" hidden="false" customHeight="true" outlineLevel="0" collapsed="false">
      <c r="A25" s="40" t="s">
        <v>366</v>
      </c>
      <c r="B25" s="40" t="s">
        <v>367</v>
      </c>
      <c r="C25" s="41" t="n">
        <v>895</v>
      </c>
      <c r="D25" s="41" t="n">
        <v>20</v>
      </c>
      <c r="E25" s="41" t="n">
        <v>875</v>
      </c>
      <c r="F25" s="50" t="n">
        <v>0.0223463687150838</v>
      </c>
      <c r="G25" s="43"/>
      <c r="H25" s="48"/>
    </row>
    <row r="26" customFormat="false" ht="13.5" hidden="false" customHeight="true" outlineLevel="0" collapsed="false">
      <c r="A26" s="11" t="s">
        <v>368</v>
      </c>
      <c r="B26" s="11" t="s">
        <v>369</v>
      </c>
      <c r="C26" s="44" t="n">
        <v>911</v>
      </c>
      <c r="D26" s="44" t="n">
        <v>10</v>
      </c>
      <c r="E26" s="44" t="n">
        <v>901</v>
      </c>
      <c r="F26" s="51" t="n">
        <v>0.0109769484083425</v>
      </c>
      <c r="G26" s="45"/>
      <c r="H26" s="49"/>
    </row>
    <row r="27" customFormat="false" ht="13.5" hidden="false" customHeight="true" outlineLevel="0" collapsed="false">
      <c r="A27" s="40" t="s">
        <v>370</v>
      </c>
      <c r="B27" s="40" t="s">
        <v>371</v>
      </c>
      <c r="C27" s="41" t="n">
        <v>1016</v>
      </c>
      <c r="D27" s="41" t="n">
        <v>19</v>
      </c>
      <c r="E27" s="41" t="n">
        <v>997</v>
      </c>
      <c r="F27" s="50" t="n">
        <v>0.0187007874015748</v>
      </c>
      <c r="G27" s="43"/>
      <c r="H27" s="48"/>
    </row>
    <row r="28" customFormat="false" ht="13.5" hidden="false" customHeight="true" outlineLevel="0" collapsed="false">
      <c r="A28" s="11" t="s">
        <v>372</v>
      </c>
      <c r="B28" s="11" t="s">
        <v>373</v>
      </c>
      <c r="C28" s="44" t="n">
        <v>1008</v>
      </c>
      <c r="D28" s="44" t="n">
        <v>16</v>
      </c>
      <c r="E28" s="44" t="n">
        <v>992</v>
      </c>
      <c r="F28" s="51" t="n">
        <v>0.0158730158730159</v>
      </c>
      <c r="G28" s="45"/>
      <c r="H28" s="49"/>
    </row>
    <row r="29" customFormat="false" ht="13.5" hidden="false" customHeight="true" outlineLevel="0" collapsed="false">
      <c r="A29" s="40" t="s">
        <v>374</v>
      </c>
      <c r="B29" s="40" t="s">
        <v>375</v>
      </c>
      <c r="C29" s="41" t="n">
        <v>1022</v>
      </c>
      <c r="D29" s="41" t="n">
        <v>13</v>
      </c>
      <c r="E29" s="41" t="n">
        <v>1009</v>
      </c>
      <c r="F29" s="50" t="n">
        <v>0.012720156555773</v>
      </c>
      <c r="G29" s="43"/>
      <c r="H29" s="48"/>
    </row>
    <row r="30" customFormat="false" ht="13.5" hidden="false" customHeight="true" outlineLevel="0" collapsed="false">
      <c r="A30" s="11" t="s">
        <v>376</v>
      </c>
      <c r="B30" s="11" t="s">
        <v>377</v>
      </c>
      <c r="C30" s="44" t="n">
        <v>989</v>
      </c>
      <c r="D30" s="44" t="n">
        <v>12</v>
      </c>
      <c r="E30" s="44" t="n">
        <v>977</v>
      </c>
      <c r="F30" s="51" t="n">
        <v>0.0121334681496461</v>
      </c>
      <c r="G30" s="45" t="s">
        <v>378</v>
      </c>
      <c r="H30" s="49"/>
    </row>
    <row r="31" customFormat="false" ht="13.5" hidden="false" customHeight="true" outlineLevel="0" collapsed="false">
      <c r="A31" s="40" t="s">
        <v>379</v>
      </c>
      <c r="B31" s="40" t="s">
        <v>380</v>
      </c>
      <c r="C31" s="41" t="n">
        <v>892</v>
      </c>
      <c r="D31" s="41" t="n">
        <v>10</v>
      </c>
      <c r="E31" s="41" t="n">
        <v>882</v>
      </c>
      <c r="F31" s="50" t="n">
        <v>0.0112107623318386</v>
      </c>
      <c r="G31" s="43"/>
      <c r="H31" s="48"/>
    </row>
    <row r="32" customFormat="false" ht="13.5" hidden="false" customHeight="true" outlineLevel="0" collapsed="false">
      <c r="A32" s="11" t="s">
        <v>381</v>
      </c>
      <c r="B32" s="11" t="s">
        <v>382</v>
      </c>
      <c r="C32" s="44" t="n">
        <v>992</v>
      </c>
      <c r="D32" s="44" t="n">
        <v>27</v>
      </c>
      <c r="E32" s="44" t="n">
        <v>965</v>
      </c>
      <c r="F32" s="51" t="n">
        <v>0.0272177419354839</v>
      </c>
      <c r="G32" s="45"/>
      <c r="H32" s="49"/>
    </row>
    <row r="33" customFormat="false" ht="13.5" hidden="false" customHeight="true" outlineLevel="0" collapsed="false">
      <c r="A33" s="40" t="s">
        <v>176</v>
      </c>
      <c r="B33" s="40" t="s">
        <v>383</v>
      </c>
      <c r="C33" s="41" t="n">
        <v>1048</v>
      </c>
      <c r="D33" s="41" t="n">
        <v>25</v>
      </c>
      <c r="E33" s="41" t="n">
        <v>1023</v>
      </c>
      <c r="F33" s="50" t="n">
        <v>0.0238549618320611</v>
      </c>
      <c r="G33" s="43"/>
      <c r="H33" s="48"/>
    </row>
    <row r="34" customFormat="false" ht="13.5" hidden="false" customHeight="true" outlineLevel="0" collapsed="false">
      <c r="A34" s="11" t="s">
        <v>384</v>
      </c>
      <c r="B34" s="11" t="s">
        <v>385</v>
      </c>
      <c r="C34" s="44" t="n">
        <v>1021</v>
      </c>
      <c r="D34" s="44" t="n">
        <v>11</v>
      </c>
      <c r="E34" s="44" t="n">
        <v>1010</v>
      </c>
      <c r="F34" s="51" t="n">
        <v>0.0107737512242899</v>
      </c>
      <c r="G34" s="45"/>
      <c r="H34" s="49"/>
    </row>
    <row r="35" customFormat="false" ht="13.5" hidden="false" customHeight="true" outlineLevel="0" collapsed="false">
      <c r="A35" s="40" t="s">
        <v>386</v>
      </c>
      <c r="B35" s="40" t="s">
        <v>387</v>
      </c>
      <c r="C35" s="41" t="n">
        <v>983</v>
      </c>
      <c r="D35" s="41" t="n">
        <v>18</v>
      </c>
      <c r="E35" s="41" t="n">
        <v>965</v>
      </c>
      <c r="F35" s="50" t="n">
        <v>0.0183112919633774</v>
      </c>
      <c r="G35" s="43"/>
      <c r="H35" s="48"/>
    </row>
    <row r="36" customFormat="false" ht="13.5" hidden="false" customHeight="true" outlineLevel="0" collapsed="false">
      <c r="A36" s="11" t="s">
        <v>388</v>
      </c>
      <c r="B36" s="11" t="s">
        <v>389</v>
      </c>
      <c r="C36" s="44" t="n">
        <v>1091</v>
      </c>
      <c r="D36" s="44" t="n">
        <v>14</v>
      </c>
      <c r="E36" s="44" t="n">
        <v>1077</v>
      </c>
      <c r="F36" s="51" t="n">
        <v>0.0128322639780018</v>
      </c>
      <c r="G36" s="45" t="s">
        <v>390</v>
      </c>
      <c r="H36" s="49"/>
    </row>
    <row r="37" customFormat="false" ht="13.5" hidden="false" customHeight="true" outlineLevel="0" collapsed="false">
      <c r="A37" s="40" t="s">
        <v>391</v>
      </c>
      <c r="B37" s="40" t="s">
        <v>392</v>
      </c>
      <c r="C37" s="41" t="n">
        <v>1048</v>
      </c>
      <c r="D37" s="41" t="n">
        <v>10</v>
      </c>
      <c r="E37" s="41" t="n">
        <v>1038</v>
      </c>
      <c r="F37" s="50" t="n">
        <v>0.00954198473282443</v>
      </c>
      <c r="G37" s="43"/>
      <c r="H37" s="48"/>
    </row>
    <row r="38" customFormat="false" ht="13.5" hidden="false" customHeight="true" outlineLevel="0" collapsed="false">
      <c r="A38" s="11" t="s">
        <v>393</v>
      </c>
      <c r="B38" s="11" t="s">
        <v>394</v>
      </c>
      <c r="C38" s="44" t="n">
        <v>1030</v>
      </c>
      <c r="D38" s="44" t="n">
        <v>26</v>
      </c>
      <c r="E38" s="44" t="n">
        <v>1004</v>
      </c>
      <c r="F38" s="51" t="n">
        <v>0.0252427184466019</v>
      </c>
      <c r="G38" s="45"/>
      <c r="H38" s="49"/>
    </row>
    <row r="39" customFormat="false" ht="13.5" hidden="false" customHeight="true" outlineLevel="0" collapsed="false">
      <c r="A39" s="40" t="s">
        <v>395</v>
      </c>
      <c r="B39" s="40" t="s">
        <v>396</v>
      </c>
      <c r="C39" s="41" t="n">
        <v>1108</v>
      </c>
      <c r="D39" s="41" t="n">
        <v>20</v>
      </c>
      <c r="E39" s="41" t="n">
        <v>1088</v>
      </c>
      <c r="F39" s="50" t="n">
        <v>0.0180505415162455</v>
      </c>
      <c r="G39" s="43"/>
      <c r="H39" s="48"/>
    </row>
    <row r="40" customFormat="false" ht="13.5" hidden="false" customHeight="true" outlineLevel="0" collapsed="false">
      <c r="A40" s="11" t="s">
        <v>397</v>
      </c>
      <c r="B40" s="11" t="s">
        <v>398</v>
      </c>
      <c r="C40" s="44" t="n">
        <v>1027</v>
      </c>
      <c r="D40" s="44" t="n">
        <v>29</v>
      </c>
      <c r="E40" s="44" t="n">
        <v>998</v>
      </c>
      <c r="F40" s="51" t="n">
        <v>0.0282375851996105</v>
      </c>
      <c r="G40" s="45"/>
      <c r="H40" s="49"/>
    </row>
    <row r="41" customFormat="false" ht="13.5" hidden="false" customHeight="true" outlineLevel="0" collapsed="false">
      <c r="A41" s="40" t="s">
        <v>399</v>
      </c>
      <c r="B41" s="40" t="s">
        <v>400</v>
      </c>
      <c r="C41" s="41" t="n">
        <v>1098</v>
      </c>
      <c r="D41" s="41" t="n">
        <v>16</v>
      </c>
      <c r="E41" s="41" t="n">
        <v>1082</v>
      </c>
      <c r="F41" s="50" t="n">
        <v>0.0145719489981785</v>
      </c>
      <c r="G41" s="43"/>
      <c r="H41" s="48"/>
    </row>
    <row r="42" customFormat="false" ht="13.5" hidden="false" customHeight="true" outlineLevel="0" collapsed="false">
      <c r="A42" s="11" t="s">
        <v>401</v>
      </c>
      <c r="B42" s="11" t="s">
        <v>402</v>
      </c>
      <c r="C42" s="44" t="n">
        <v>1116</v>
      </c>
      <c r="D42" s="44" t="n">
        <v>25</v>
      </c>
      <c r="E42" s="44" t="n">
        <v>1091</v>
      </c>
      <c r="F42" s="51" t="n">
        <v>0.0224014336917563</v>
      </c>
      <c r="G42" s="45"/>
      <c r="H42" s="49"/>
    </row>
    <row r="43" customFormat="false" ht="13.5" hidden="false" customHeight="true" outlineLevel="0" collapsed="false">
      <c r="A43" s="40" t="s">
        <v>403</v>
      </c>
      <c r="B43" s="40" t="s">
        <v>404</v>
      </c>
      <c r="C43" s="41" t="n">
        <v>1160</v>
      </c>
      <c r="D43" s="41" t="n">
        <v>18</v>
      </c>
      <c r="E43" s="41" t="n">
        <v>1142</v>
      </c>
      <c r="F43" s="50" t="n">
        <v>0.0155172413793103</v>
      </c>
      <c r="G43" s="43"/>
      <c r="H43" s="48"/>
    </row>
    <row r="44" customFormat="false" ht="13.5" hidden="false" customHeight="true" outlineLevel="0" collapsed="false">
      <c r="A44" s="11" t="s">
        <v>405</v>
      </c>
      <c r="B44" s="11" t="s">
        <v>406</v>
      </c>
      <c r="C44" s="44" t="n">
        <v>1095</v>
      </c>
      <c r="D44" s="44" t="n">
        <v>12</v>
      </c>
      <c r="E44" s="44" t="n">
        <v>1083</v>
      </c>
      <c r="F44" s="51" t="n">
        <v>0.010958904109589</v>
      </c>
      <c r="G44" s="45"/>
      <c r="H44" s="49"/>
    </row>
    <row r="45" customFormat="false" ht="13.5" hidden="false" customHeight="true" outlineLevel="0" collapsed="false">
      <c r="A45" s="40" t="s">
        <v>407</v>
      </c>
      <c r="B45" s="40" t="s">
        <v>408</v>
      </c>
      <c r="C45" s="41" t="n">
        <v>1120</v>
      </c>
      <c r="D45" s="41" t="n">
        <v>23</v>
      </c>
      <c r="E45" s="41" t="n">
        <v>1097</v>
      </c>
      <c r="F45" s="50" t="n">
        <v>0.0205357142857143</v>
      </c>
      <c r="G45" s="43" t="s">
        <v>409</v>
      </c>
      <c r="H45" s="48"/>
    </row>
    <row r="46" customFormat="false" ht="13.5" hidden="false" customHeight="true" outlineLevel="0" collapsed="false">
      <c r="A46" s="11" t="s">
        <v>186</v>
      </c>
      <c r="B46" s="11" t="s">
        <v>410</v>
      </c>
      <c r="C46" s="44" t="n">
        <v>1107</v>
      </c>
      <c r="D46" s="44" t="n">
        <v>27</v>
      </c>
      <c r="E46" s="44" t="n">
        <v>1080</v>
      </c>
      <c r="F46" s="51" t="n">
        <v>0.024390243902439</v>
      </c>
      <c r="G46" s="45"/>
      <c r="H46" s="49"/>
    </row>
    <row r="47" customFormat="false" ht="13.5" hidden="false" customHeight="true" outlineLevel="0" collapsed="false">
      <c r="A47" s="40" t="s">
        <v>411</v>
      </c>
      <c r="B47" s="40" t="s">
        <v>412</v>
      </c>
      <c r="C47" s="41" t="n">
        <v>1104</v>
      </c>
      <c r="D47" s="41" t="n">
        <v>21</v>
      </c>
      <c r="E47" s="41" t="n">
        <v>1083</v>
      </c>
      <c r="F47" s="50" t="n">
        <v>0.0190217391304348</v>
      </c>
      <c r="G47" s="43"/>
      <c r="H47" s="48"/>
    </row>
    <row r="48" customFormat="false" ht="13.5" hidden="false" customHeight="true" outlineLevel="0" collapsed="false">
      <c r="A48" s="11" t="s">
        <v>413</v>
      </c>
      <c r="B48" s="11" t="s">
        <v>414</v>
      </c>
      <c r="C48" s="44" t="n">
        <v>1129</v>
      </c>
      <c r="D48" s="44" t="n">
        <v>27</v>
      </c>
      <c r="E48" s="44" t="n">
        <v>1102</v>
      </c>
      <c r="F48" s="51" t="n">
        <v>0.0239149689991143</v>
      </c>
      <c r="G48" s="45"/>
      <c r="H48" s="49"/>
    </row>
    <row r="49" customFormat="false" ht="13.5" hidden="false" customHeight="true" outlineLevel="0" collapsed="false">
      <c r="A49" s="40" t="s">
        <v>415</v>
      </c>
      <c r="B49" s="40" t="s">
        <v>416</v>
      </c>
      <c r="C49" s="41" t="n">
        <v>1076</v>
      </c>
      <c r="D49" s="41" t="n">
        <v>12</v>
      </c>
      <c r="E49" s="41" t="n">
        <v>1064</v>
      </c>
      <c r="F49" s="50" t="n">
        <v>0.0111524163568773</v>
      </c>
      <c r="G49" s="43"/>
      <c r="H49" s="48"/>
    </row>
    <row r="50" customFormat="false" ht="13.5" hidden="false" customHeight="true" outlineLevel="0" collapsed="false">
      <c r="A50" s="11" t="s">
        <v>417</v>
      </c>
      <c r="B50" s="11" t="s">
        <v>418</v>
      </c>
      <c r="C50" s="44" t="n">
        <v>1073</v>
      </c>
      <c r="D50" s="44" t="n">
        <v>26</v>
      </c>
      <c r="E50" s="44" t="n">
        <v>1047</v>
      </c>
      <c r="F50" s="51" t="n">
        <v>0.0242311276794035</v>
      </c>
      <c r="G50" s="45"/>
      <c r="H50" s="49"/>
    </row>
    <row r="51" customFormat="false" ht="13.5" hidden="false" customHeight="true" outlineLevel="0" collapsed="false">
      <c r="A51" s="40" t="s">
        <v>419</v>
      </c>
      <c r="B51" s="40" t="s">
        <v>420</v>
      </c>
      <c r="C51" s="41" t="n">
        <v>1114</v>
      </c>
      <c r="D51" s="41" t="n">
        <v>28</v>
      </c>
      <c r="E51" s="41" t="n">
        <v>1086</v>
      </c>
      <c r="F51" s="50" t="n">
        <v>0.0251346499102334</v>
      </c>
      <c r="G51" s="43"/>
      <c r="H51" s="48"/>
    </row>
    <row r="52" customFormat="false" ht="13.5" hidden="false" customHeight="true" outlineLevel="0" collapsed="false">
      <c r="A52" s="11" t="s">
        <v>421</v>
      </c>
      <c r="B52" s="11" t="s">
        <v>422</v>
      </c>
      <c r="C52" s="44" t="n">
        <v>1116</v>
      </c>
      <c r="D52" s="44" t="n">
        <v>17</v>
      </c>
      <c r="E52" s="44" t="n">
        <v>1099</v>
      </c>
      <c r="F52" s="51" t="n">
        <v>0.0152329749103943</v>
      </c>
      <c r="G52" s="45" t="s">
        <v>423</v>
      </c>
      <c r="H52" s="49"/>
    </row>
    <row r="53" customFormat="false" ht="13.5" hidden="false" customHeight="true" outlineLevel="0" collapsed="false">
      <c r="A53" s="40" t="s">
        <v>424</v>
      </c>
      <c r="B53" s="40" t="s">
        <v>425</v>
      </c>
      <c r="C53" s="41" t="n">
        <v>1070</v>
      </c>
      <c r="D53" s="41" t="n">
        <v>24</v>
      </c>
      <c r="E53" s="41" t="n">
        <v>1046</v>
      </c>
      <c r="F53" s="50" t="n">
        <v>0.0224299065420561</v>
      </c>
      <c r="G53" s="43"/>
      <c r="H53" s="48"/>
    </row>
    <row r="54" customFormat="false" ht="13.5" hidden="false" customHeight="true" outlineLevel="0" collapsed="false">
      <c r="A54" s="11" t="s">
        <v>426</v>
      </c>
      <c r="B54" s="11" t="s">
        <v>427</v>
      </c>
      <c r="C54" s="44" t="n">
        <v>989</v>
      </c>
      <c r="D54" s="44" t="n">
        <v>14</v>
      </c>
      <c r="E54" s="44" t="n">
        <v>975</v>
      </c>
      <c r="F54" s="51" t="n">
        <v>0.0141557128412538</v>
      </c>
      <c r="G54" s="45"/>
      <c r="H54" s="49"/>
    </row>
    <row r="55" customFormat="false" ht="13.5" hidden="false" customHeight="true" outlineLevel="0" collapsed="false">
      <c r="A55" s="40" t="s">
        <v>428</v>
      </c>
      <c r="B55" s="40" t="s">
        <v>429</v>
      </c>
      <c r="C55" s="41" t="n">
        <v>1004</v>
      </c>
      <c r="D55" s="41" t="n">
        <v>25</v>
      </c>
      <c r="E55" s="41" t="n">
        <v>979</v>
      </c>
      <c r="F55" s="50" t="n">
        <v>0.0249003984063745</v>
      </c>
      <c r="G55" s="43"/>
      <c r="H55" s="48"/>
    </row>
    <row r="56" customFormat="false" ht="13.5" hidden="false" customHeight="true" outlineLevel="0" collapsed="false">
      <c r="A56" s="11" t="s">
        <v>430</v>
      </c>
      <c r="B56" s="11" t="s">
        <v>431</v>
      </c>
      <c r="C56" s="44" t="n">
        <v>983</v>
      </c>
      <c r="D56" s="44" t="n">
        <v>29</v>
      </c>
      <c r="E56" s="44" t="n">
        <v>954</v>
      </c>
      <c r="F56" s="51" t="n">
        <v>0.029501525940997</v>
      </c>
      <c r="G56" s="45"/>
      <c r="H56" s="49"/>
    </row>
    <row r="57" customFormat="false" ht="15.75" hidden="false" customHeight="true" outlineLevel="0" collapsed="false">
      <c r="A57" s="46" t="s">
        <v>62</v>
      </c>
      <c r="C57" s="47" t="n">
        <f aca="false">SUM(C5:C56)</f>
        <v>53131</v>
      </c>
      <c r="D57" s="47" t="n">
        <f aca="false">SUM(D5:D56)</f>
        <v>961</v>
      </c>
      <c r="E57" s="47" t="n">
        <f aca="false">SUM(E5:E56)</f>
        <v>52170</v>
      </c>
      <c r="F57" s="52" t="n">
        <f aca="false">D57/C57</f>
        <v>0.0180873689559767</v>
      </c>
      <c r="G57" s="39"/>
      <c r="H57" s="39"/>
    </row>
    <row r="59" customFormat="false" ht="15.75" hidden="false" customHeight="true" outlineLevel="0" collapsed="false">
      <c r="A59" s="5" t="s">
        <v>432</v>
      </c>
      <c r="B59" s="5"/>
      <c r="C59" s="5"/>
      <c r="D59" s="5"/>
      <c r="E59" s="5"/>
      <c r="F59" s="5"/>
      <c r="G59" s="5"/>
      <c r="H59" s="5"/>
    </row>
    <row r="60" customFormat="false" ht="30" hidden="false" customHeight="true" outlineLevel="0" collapsed="false">
      <c r="A60" s="3" t="s">
        <v>150</v>
      </c>
      <c r="B60" s="3" t="s">
        <v>433</v>
      </c>
      <c r="C60" s="3" t="s">
        <v>434</v>
      </c>
      <c r="D60" s="3" t="s">
        <v>435</v>
      </c>
      <c r="E60" s="3" t="s">
        <v>48</v>
      </c>
      <c r="F60" s="4" t="s">
        <v>436</v>
      </c>
      <c r="G60" s="3" t="s">
        <v>7</v>
      </c>
      <c r="H60" s="3" t="s">
        <v>8</v>
      </c>
    </row>
    <row r="61" customFormat="false" ht="13.5" hidden="false" customHeight="true" outlineLevel="0" collapsed="false">
      <c r="A61" s="56" t="n">
        <v>45352</v>
      </c>
      <c r="B61" s="40" t="s">
        <v>437</v>
      </c>
      <c r="C61" s="41" t="n">
        <v>3</v>
      </c>
      <c r="D61" s="42" t="n">
        <v>345</v>
      </c>
      <c r="E61" s="42" t="n">
        <v>1035</v>
      </c>
      <c r="F61" s="40" t="s">
        <v>438</v>
      </c>
      <c r="G61" s="9" t="s">
        <v>12</v>
      </c>
      <c r="H61" s="43"/>
    </row>
    <row r="62" customFormat="false" ht="13.5" hidden="false" customHeight="true" outlineLevel="0" collapsed="false">
      <c r="A62" s="57" t="n">
        <v>45356</v>
      </c>
      <c r="B62" s="11" t="s">
        <v>439</v>
      </c>
      <c r="C62" s="44" t="n">
        <v>8</v>
      </c>
      <c r="D62" s="12" t="n">
        <v>340</v>
      </c>
      <c r="E62" s="12" t="n">
        <v>2720</v>
      </c>
      <c r="F62" s="11" t="s">
        <v>440</v>
      </c>
      <c r="G62" s="9" t="s">
        <v>12</v>
      </c>
      <c r="H62" s="45"/>
    </row>
    <row r="63" customFormat="false" ht="13.5" hidden="false" customHeight="true" outlineLevel="0" collapsed="false">
      <c r="A63" s="56" t="n">
        <v>45359</v>
      </c>
      <c r="B63" s="40" t="s">
        <v>441</v>
      </c>
      <c r="C63" s="41" t="n">
        <v>2</v>
      </c>
      <c r="D63" s="42" t="n">
        <v>360</v>
      </c>
      <c r="E63" s="42" t="n">
        <v>720</v>
      </c>
      <c r="F63" s="40" t="s">
        <v>442</v>
      </c>
      <c r="G63" s="9" t="s">
        <v>12</v>
      </c>
      <c r="H63" s="43"/>
    </row>
    <row r="64" customFormat="false" ht="13.5" hidden="false" customHeight="true" outlineLevel="0" collapsed="false">
      <c r="A64" s="57" t="n">
        <v>45359</v>
      </c>
      <c r="B64" s="11" t="s">
        <v>439</v>
      </c>
      <c r="C64" s="44" t="n">
        <v>6</v>
      </c>
      <c r="D64" s="12" t="n">
        <v>345</v>
      </c>
      <c r="E64" s="12" t="n">
        <v>2070</v>
      </c>
      <c r="F64" s="11" t="s">
        <v>443</v>
      </c>
      <c r="G64" s="9" t="s">
        <v>12</v>
      </c>
      <c r="H64" s="45"/>
    </row>
    <row r="65" customFormat="false" ht="13.5" hidden="false" customHeight="true" outlineLevel="0" collapsed="false">
      <c r="A65" s="56" t="n">
        <v>45363</v>
      </c>
      <c r="B65" s="40" t="s">
        <v>439</v>
      </c>
      <c r="C65" s="41" t="n">
        <v>6</v>
      </c>
      <c r="D65" s="42" t="n">
        <v>345</v>
      </c>
      <c r="E65" s="42" t="n">
        <v>2070</v>
      </c>
      <c r="F65" s="40" t="s">
        <v>444</v>
      </c>
      <c r="G65" s="9" t="s">
        <v>12</v>
      </c>
      <c r="H65" s="43" t="s">
        <v>445</v>
      </c>
    </row>
    <row r="66" customFormat="false" ht="13.5" hidden="false" customHeight="true" outlineLevel="0" collapsed="false">
      <c r="A66" s="57" t="n">
        <v>45366</v>
      </c>
      <c r="B66" s="11" t="s">
        <v>441</v>
      </c>
      <c r="C66" s="44" t="n">
        <v>2</v>
      </c>
      <c r="D66" s="12" t="n">
        <v>350</v>
      </c>
      <c r="E66" s="12" t="n">
        <v>700</v>
      </c>
      <c r="F66" s="11" t="s">
        <v>446</v>
      </c>
      <c r="G66" s="9" t="s">
        <v>12</v>
      </c>
      <c r="H66" s="45"/>
    </row>
    <row r="67" customFormat="false" ht="13.5" hidden="false" customHeight="true" outlineLevel="0" collapsed="false">
      <c r="A67" s="56" t="n">
        <v>45367</v>
      </c>
      <c r="B67" s="40" t="s">
        <v>447</v>
      </c>
      <c r="C67" s="41" t="n">
        <v>6</v>
      </c>
      <c r="D67" s="42" t="n">
        <v>350</v>
      </c>
      <c r="E67" s="42" t="n">
        <v>2100</v>
      </c>
      <c r="F67" s="40" t="s">
        <v>448</v>
      </c>
      <c r="G67" s="9" t="s">
        <v>12</v>
      </c>
      <c r="H67" s="43" t="s">
        <v>445</v>
      </c>
    </row>
    <row r="68" customFormat="false" ht="13.5" hidden="false" customHeight="true" outlineLevel="0" collapsed="false">
      <c r="A68" s="57" t="n">
        <v>45370</v>
      </c>
      <c r="B68" s="11" t="s">
        <v>447</v>
      </c>
      <c r="C68" s="44" t="n">
        <v>7</v>
      </c>
      <c r="D68" s="12" t="n">
        <v>355</v>
      </c>
      <c r="E68" s="12" t="n">
        <v>2485</v>
      </c>
      <c r="F68" s="11" t="s">
        <v>449</v>
      </c>
      <c r="G68" s="9" t="s">
        <v>12</v>
      </c>
      <c r="H68" s="45"/>
    </row>
    <row r="69" customFormat="false" ht="13.5" hidden="false" customHeight="true" outlineLevel="0" collapsed="false">
      <c r="A69" s="56" t="n">
        <v>45373</v>
      </c>
      <c r="B69" s="40" t="s">
        <v>437</v>
      </c>
      <c r="C69" s="41" t="n">
        <v>2</v>
      </c>
      <c r="D69" s="42" t="n">
        <v>350</v>
      </c>
      <c r="E69" s="42" t="n">
        <v>700</v>
      </c>
      <c r="F69" s="40" t="s">
        <v>450</v>
      </c>
      <c r="G69" s="9" t="s">
        <v>12</v>
      </c>
      <c r="H69" s="43"/>
    </row>
    <row r="70" customFormat="false" ht="13.5" hidden="false" customHeight="true" outlineLevel="0" collapsed="false">
      <c r="A70" s="57" t="n">
        <v>45374</v>
      </c>
      <c r="B70" s="11" t="s">
        <v>437</v>
      </c>
      <c r="C70" s="44" t="n">
        <v>1</v>
      </c>
      <c r="D70" s="12" t="n">
        <v>350</v>
      </c>
      <c r="E70" s="12" t="n">
        <v>350</v>
      </c>
      <c r="F70" s="11" t="s">
        <v>451</v>
      </c>
      <c r="G70" s="9" t="s">
        <v>12</v>
      </c>
      <c r="H70" s="45"/>
    </row>
    <row r="71" customFormat="false" ht="13.5" hidden="false" customHeight="true" outlineLevel="0" collapsed="false">
      <c r="A71" s="56" t="n">
        <v>45377</v>
      </c>
      <c r="B71" s="40" t="s">
        <v>447</v>
      </c>
      <c r="C71" s="41" t="n">
        <v>8</v>
      </c>
      <c r="D71" s="42" t="n">
        <v>340</v>
      </c>
      <c r="E71" s="42" t="n">
        <v>2720</v>
      </c>
      <c r="F71" s="40" t="s">
        <v>452</v>
      </c>
      <c r="G71" s="9" t="s">
        <v>12</v>
      </c>
      <c r="H71" s="43"/>
    </row>
    <row r="72" customFormat="false" ht="13.5" hidden="false" customHeight="true" outlineLevel="0" collapsed="false">
      <c r="A72" s="57" t="n">
        <v>45387</v>
      </c>
      <c r="B72" s="11" t="s">
        <v>437</v>
      </c>
      <c r="C72" s="44" t="n">
        <v>1</v>
      </c>
      <c r="D72" s="12" t="n">
        <v>355</v>
      </c>
      <c r="E72" s="12" t="n">
        <v>355</v>
      </c>
      <c r="F72" s="11" t="s">
        <v>453</v>
      </c>
      <c r="G72" s="9" t="s">
        <v>12</v>
      </c>
      <c r="H72" s="45"/>
    </row>
    <row r="73" customFormat="false" ht="13.5" hidden="false" customHeight="true" outlineLevel="0" collapsed="false">
      <c r="A73" s="56" t="n">
        <v>45387</v>
      </c>
      <c r="B73" s="40" t="s">
        <v>437</v>
      </c>
      <c r="C73" s="41" t="n">
        <v>2</v>
      </c>
      <c r="D73" s="42" t="n">
        <v>350</v>
      </c>
      <c r="E73" s="42" t="n">
        <v>700</v>
      </c>
      <c r="F73" s="40" t="s">
        <v>454</v>
      </c>
      <c r="G73" s="9" t="s">
        <v>12</v>
      </c>
      <c r="H73" s="43"/>
    </row>
    <row r="74" customFormat="false" ht="13.5" hidden="false" customHeight="true" outlineLevel="0" collapsed="false">
      <c r="A74" s="57" t="n">
        <v>45391</v>
      </c>
      <c r="B74" s="11" t="s">
        <v>441</v>
      </c>
      <c r="C74" s="44" t="n">
        <v>2</v>
      </c>
      <c r="D74" s="12" t="n">
        <v>350</v>
      </c>
      <c r="E74" s="12" t="n">
        <v>700</v>
      </c>
      <c r="F74" s="11" t="s">
        <v>455</v>
      </c>
      <c r="G74" s="9" t="s">
        <v>12</v>
      </c>
      <c r="H74" s="45"/>
    </row>
    <row r="75" customFormat="false" ht="13.5" hidden="false" customHeight="true" outlineLevel="0" collapsed="false">
      <c r="A75" s="56" t="n">
        <v>45394</v>
      </c>
      <c r="B75" s="40" t="s">
        <v>447</v>
      </c>
      <c r="C75" s="41" t="n">
        <v>5</v>
      </c>
      <c r="D75" s="42" t="n">
        <v>345</v>
      </c>
      <c r="E75" s="42" t="n">
        <v>1725</v>
      </c>
      <c r="F75" s="40" t="s">
        <v>456</v>
      </c>
      <c r="G75" s="9" t="s">
        <v>12</v>
      </c>
      <c r="H75" s="43"/>
    </row>
    <row r="76" customFormat="false" ht="13.5" hidden="false" customHeight="true" outlineLevel="0" collapsed="false">
      <c r="A76" s="57" t="n">
        <v>45398</v>
      </c>
      <c r="B76" s="11" t="s">
        <v>437</v>
      </c>
      <c r="C76" s="44" t="n">
        <v>3</v>
      </c>
      <c r="D76" s="12" t="n">
        <v>345</v>
      </c>
      <c r="E76" s="12" t="n">
        <v>1035</v>
      </c>
      <c r="F76" s="11" t="s">
        <v>457</v>
      </c>
      <c r="G76" s="9" t="s">
        <v>12</v>
      </c>
      <c r="H76" s="45"/>
    </row>
    <row r="77" customFormat="false" ht="13.5" hidden="false" customHeight="true" outlineLevel="0" collapsed="false">
      <c r="A77" s="56" t="n">
        <v>45401</v>
      </c>
      <c r="B77" s="40" t="s">
        <v>441</v>
      </c>
      <c r="C77" s="41" t="n">
        <v>1</v>
      </c>
      <c r="D77" s="42" t="n">
        <v>345</v>
      </c>
      <c r="E77" s="42" t="n">
        <v>345</v>
      </c>
      <c r="F77" s="40" t="s">
        <v>458</v>
      </c>
      <c r="G77" s="9" t="s">
        <v>12</v>
      </c>
      <c r="H77" s="43"/>
    </row>
    <row r="78" customFormat="false" ht="13.5" hidden="false" customHeight="true" outlineLevel="0" collapsed="false">
      <c r="A78" s="57" t="n">
        <v>45401</v>
      </c>
      <c r="B78" s="11" t="s">
        <v>439</v>
      </c>
      <c r="C78" s="44" t="n">
        <v>7</v>
      </c>
      <c r="D78" s="12" t="n">
        <v>350</v>
      </c>
      <c r="E78" s="12" t="n">
        <v>2450</v>
      </c>
      <c r="F78" s="11" t="s">
        <v>459</v>
      </c>
      <c r="G78" s="9" t="s">
        <v>12</v>
      </c>
      <c r="H78" s="45" t="s">
        <v>445</v>
      </c>
    </row>
    <row r="79" customFormat="false" ht="13.5" hidden="false" customHeight="true" outlineLevel="0" collapsed="false">
      <c r="A79" s="56" t="n">
        <v>45405</v>
      </c>
      <c r="B79" s="40" t="s">
        <v>447</v>
      </c>
      <c r="C79" s="41" t="n">
        <v>4</v>
      </c>
      <c r="D79" s="42" t="n">
        <v>355</v>
      </c>
      <c r="E79" s="42" t="n">
        <v>1420</v>
      </c>
      <c r="F79" s="40" t="s">
        <v>460</v>
      </c>
      <c r="G79" s="9" t="s">
        <v>12</v>
      </c>
      <c r="H79" s="43" t="s">
        <v>445</v>
      </c>
    </row>
    <row r="80" customFormat="false" ht="13.5" hidden="false" customHeight="true" outlineLevel="0" collapsed="false">
      <c r="A80" s="57" t="n">
        <v>45408</v>
      </c>
      <c r="B80" s="11" t="s">
        <v>447</v>
      </c>
      <c r="C80" s="44" t="n">
        <v>8</v>
      </c>
      <c r="D80" s="12" t="n">
        <v>350</v>
      </c>
      <c r="E80" s="12" t="n">
        <v>2800</v>
      </c>
      <c r="F80" s="11" t="s">
        <v>461</v>
      </c>
      <c r="G80" s="9" t="s">
        <v>12</v>
      </c>
      <c r="H80" s="45"/>
    </row>
    <row r="81" customFormat="false" ht="13.5" hidden="false" customHeight="true" outlineLevel="0" collapsed="false">
      <c r="A81" s="56" t="n">
        <v>45412</v>
      </c>
      <c r="B81" s="40" t="s">
        <v>441</v>
      </c>
      <c r="C81" s="41" t="n">
        <v>3</v>
      </c>
      <c r="D81" s="42" t="n">
        <v>355</v>
      </c>
      <c r="E81" s="42" t="n">
        <v>1065</v>
      </c>
      <c r="F81" s="40" t="s">
        <v>462</v>
      </c>
      <c r="G81" s="9" t="s">
        <v>12</v>
      </c>
      <c r="H81" s="43"/>
    </row>
    <row r="82" customFormat="false" ht="13.5" hidden="false" customHeight="true" outlineLevel="0" collapsed="false">
      <c r="A82" s="57" t="n">
        <v>45415</v>
      </c>
      <c r="B82" s="11" t="s">
        <v>439</v>
      </c>
      <c r="C82" s="44" t="n">
        <v>6</v>
      </c>
      <c r="D82" s="12" t="n">
        <v>345</v>
      </c>
      <c r="E82" s="12" t="n">
        <v>2070</v>
      </c>
      <c r="F82" s="11" t="s">
        <v>463</v>
      </c>
      <c r="G82" s="9" t="s">
        <v>12</v>
      </c>
      <c r="H82" s="45"/>
    </row>
    <row r="83" customFormat="false" ht="13.5" hidden="false" customHeight="true" outlineLevel="0" collapsed="false">
      <c r="A83" s="56" t="n">
        <v>45419</v>
      </c>
      <c r="B83" s="40" t="s">
        <v>437</v>
      </c>
      <c r="C83" s="41" t="n">
        <v>3</v>
      </c>
      <c r="D83" s="42" t="n">
        <v>345</v>
      </c>
      <c r="E83" s="42" t="n">
        <v>1035</v>
      </c>
      <c r="F83" s="40" t="s">
        <v>464</v>
      </c>
      <c r="G83" s="9" t="s">
        <v>12</v>
      </c>
      <c r="H83" s="43"/>
    </row>
    <row r="84" customFormat="false" ht="13.5" hidden="false" customHeight="true" outlineLevel="0" collapsed="false">
      <c r="A84" s="57" t="n">
        <v>45419</v>
      </c>
      <c r="B84" s="11" t="s">
        <v>437</v>
      </c>
      <c r="C84" s="44" t="n">
        <v>1</v>
      </c>
      <c r="D84" s="12" t="n">
        <v>345</v>
      </c>
      <c r="E84" s="12" t="n">
        <v>345</v>
      </c>
      <c r="F84" s="11" t="s">
        <v>465</v>
      </c>
      <c r="G84" s="9" t="s">
        <v>12</v>
      </c>
      <c r="H84" s="45"/>
    </row>
    <row r="85" customFormat="false" ht="13.5" hidden="false" customHeight="true" outlineLevel="0" collapsed="false">
      <c r="A85" s="56" t="n">
        <v>45422</v>
      </c>
      <c r="B85" s="40" t="s">
        <v>441</v>
      </c>
      <c r="C85" s="41" t="n">
        <v>2</v>
      </c>
      <c r="D85" s="42" t="n">
        <v>355</v>
      </c>
      <c r="E85" s="42" t="n">
        <v>710</v>
      </c>
      <c r="F85" s="40" t="s">
        <v>466</v>
      </c>
      <c r="G85" s="9" t="s">
        <v>12</v>
      </c>
      <c r="H85" s="43"/>
    </row>
    <row r="86" customFormat="false" ht="13.5" hidden="false" customHeight="true" outlineLevel="0" collapsed="false">
      <c r="A86" s="57" t="n">
        <v>45429</v>
      </c>
      <c r="B86" s="11" t="s">
        <v>447</v>
      </c>
      <c r="C86" s="44" t="n">
        <v>6</v>
      </c>
      <c r="D86" s="12" t="n">
        <v>345</v>
      </c>
      <c r="E86" s="12" t="n">
        <v>2070</v>
      </c>
      <c r="F86" s="11" t="s">
        <v>467</v>
      </c>
      <c r="G86" s="9" t="s">
        <v>12</v>
      </c>
      <c r="H86" s="45"/>
    </row>
    <row r="87" customFormat="false" ht="13.5" hidden="false" customHeight="true" outlineLevel="0" collapsed="false">
      <c r="A87" s="56" t="n">
        <v>45433</v>
      </c>
      <c r="B87" s="40" t="s">
        <v>441</v>
      </c>
      <c r="C87" s="41" t="n">
        <v>2</v>
      </c>
      <c r="D87" s="42" t="n">
        <v>355</v>
      </c>
      <c r="E87" s="42" t="n">
        <v>710</v>
      </c>
      <c r="F87" s="40" t="s">
        <v>468</v>
      </c>
      <c r="G87" s="9" t="s">
        <v>12</v>
      </c>
      <c r="H87" s="43" t="s">
        <v>469</v>
      </c>
    </row>
    <row r="88" customFormat="false" ht="13.5" hidden="false" customHeight="true" outlineLevel="0" collapsed="false">
      <c r="A88" s="57" t="n">
        <v>45436</v>
      </c>
      <c r="B88" s="11" t="s">
        <v>439</v>
      </c>
      <c r="C88" s="44" t="n">
        <v>8</v>
      </c>
      <c r="D88" s="12" t="n">
        <v>340</v>
      </c>
      <c r="E88" s="12" t="n">
        <v>2720</v>
      </c>
      <c r="F88" s="11" t="s">
        <v>470</v>
      </c>
      <c r="G88" s="9" t="s">
        <v>12</v>
      </c>
      <c r="H88" s="45" t="s">
        <v>445</v>
      </c>
    </row>
    <row r="89" customFormat="false" ht="13.5" hidden="false" customHeight="true" outlineLevel="0" collapsed="false">
      <c r="A89" s="56" t="n">
        <v>45440</v>
      </c>
      <c r="B89" s="40" t="s">
        <v>437</v>
      </c>
      <c r="C89" s="41" t="n">
        <v>1</v>
      </c>
      <c r="D89" s="42" t="n">
        <v>355</v>
      </c>
      <c r="E89" s="42" t="n">
        <v>355</v>
      </c>
      <c r="F89" s="40" t="s">
        <v>471</v>
      </c>
      <c r="G89" s="9" t="s">
        <v>12</v>
      </c>
      <c r="H89" s="43"/>
    </row>
    <row r="90" customFormat="false" ht="13.5" hidden="false" customHeight="true" outlineLevel="0" collapsed="false">
      <c r="A90" s="57" t="n">
        <v>45443</v>
      </c>
      <c r="B90" s="11" t="s">
        <v>447</v>
      </c>
      <c r="C90" s="44" t="n">
        <v>6</v>
      </c>
      <c r="D90" s="12" t="n">
        <v>345</v>
      </c>
      <c r="E90" s="12" t="n">
        <v>2070</v>
      </c>
      <c r="F90" s="11" t="s">
        <v>472</v>
      </c>
      <c r="G90" s="9" t="s">
        <v>12</v>
      </c>
      <c r="H90" s="45"/>
    </row>
    <row r="91" customFormat="false" ht="13.5" hidden="false" customHeight="true" outlineLevel="0" collapsed="false">
      <c r="A91" s="56" t="n">
        <v>45447</v>
      </c>
      <c r="B91" s="40" t="s">
        <v>441</v>
      </c>
      <c r="C91" s="41" t="n">
        <v>1</v>
      </c>
      <c r="D91" s="42" t="n">
        <v>345</v>
      </c>
      <c r="E91" s="42" t="n">
        <v>345</v>
      </c>
      <c r="F91" s="40" t="s">
        <v>473</v>
      </c>
      <c r="G91" s="9" t="s">
        <v>12</v>
      </c>
      <c r="H91" s="43"/>
    </row>
    <row r="92" customFormat="false" ht="13.5" hidden="false" customHeight="true" outlineLevel="0" collapsed="false">
      <c r="A92" s="57" t="n">
        <v>45450</v>
      </c>
      <c r="B92" s="11" t="s">
        <v>439</v>
      </c>
      <c r="C92" s="44" t="n">
        <v>8</v>
      </c>
      <c r="D92" s="12" t="n">
        <v>340</v>
      </c>
      <c r="E92" s="12" t="n">
        <v>2720</v>
      </c>
      <c r="F92" s="11" t="s">
        <v>474</v>
      </c>
      <c r="G92" s="9" t="s">
        <v>12</v>
      </c>
      <c r="H92" s="45"/>
    </row>
    <row r="93" customFormat="false" ht="13.5" hidden="false" customHeight="true" outlineLevel="0" collapsed="false">
      <c r="A93" s="56" t="n">
        <v>45454</v>
      </c>
      <c r="B93" s="40" t="s">
        <v>437</v>
      </c>
      <c r="C93" s="41" t="n">
        <v>2</v>
      </c>
      <c r="D93" s="42" t="n">
        <v>335</v>
      </c>
      <c r="E93" s="42" t="n">
        <v>670</v>
      </c>
      <c r="F93" s="40" t="s">
        <v>475</v>
      </c>
      <c r="G93" s="9" t="s">
        <v>12</v>
      </c>
      <c r="H93" s="43" t="s">
        <v>469</v>
      </c>
    </row>
    <row r="94" customFormat="false" ht="13.5" hidden="false" customHeight="true" outlineLevel="0" collapsed="false">
      <c r="A94" s="57" t="n">
        <v>45454</v>
      </c>
      <c r="B94" s="11" t="s">
        <v>439</v>
      </c>
      <c r="C94" s="44" t="n">
        <v>4</v>
      </c>
      <c r="D94" s="12" t="n">
        <v>345</v>
      </c>
      <c r="E94" s="12" t="n">
        <v>1380</v>
      </c>
      <c r="F94" s="11" t="s">
        <v>476</v>
      </c>
      <c r="G94" s="9" t="s">
        <v>12</v>
      </c>
      <c r="H94" s="45"/>
    </row>
    <row r="95" customFormat="false" ht="13.5" hidden="false" customHeight="true" outlineLevel="0" collapsed="false">
      <c r="A95" s="56" t="n">
        <v>45457</v>
      </c>
      <c r="B95" s="40" t="s">
        <v>447</v>
      </c>
      <c r="C95" s="41" t="n">
        <v>8</v>
      </c>
      <c r="D95" s="42" t="n">
        <v>345</v>
      </c>
      <c r="E95" s="42" t="n">
        <v>2760</v>
      </c>
      <c r="F95" s="40" t="s">
        <v>477</v>
      </c>
      <c r="G95" s="9" t="s">
        <v>12</v>
      </c>
      <c r="H95" s="43" t="s">
        <v>445</v>
      </c>
    </row>
    <row r="96" customFormat="false" ht="13.5" hidden="false" customHeight="true" outlineLevel="0" collapsed="false">
      <c r="A96" s="57" t="n">
        <v>45461</v>
      </c>
      <c r="B96" s="11" t="s">
        <v>441</v>
      </c>
      <c r="C96" s="44" t="n">
        <v>3</v>
      </c>
      <c r="D96" s="12" t="n">
        <v>330</v>
      </c>
      <c r="E96" s="12" t="n">
        <v>990</v>
      </c>
      <c r="F96" s="11" t="s">
        <v>478</v>
      </c>
      <c r="G96" s="9" t="s">
        <v>12</v>
      </c>
      <c r="H96" s="45" t="s">
        <v>469</v>
      </c>
    </row>
    <row r="97" customFormat="false" ht="13.5" hidden="false" customHeight="true" outlineLevel="0" collapsed="false">
      <c r="A97" s="56" t="n">
        <v>45468</v>
      </c>
      <c r="B97" s="40" t="s">
        <v>447</v>
      </c>
      <c r="C97" s="41" t="n">
        <v>4</v>
      </c>
      <c r="D97" s="42" t="n">
        <v>350</v>
      </c>
      <c r="E97" s="42" t="n">
        <v>1400</v>
      </c>
      <c r="F97" s="40" t="s">
        <v>479</v>
      </c>
      <c r="G97" s="9" t="s">
        <v>12</v>
      </c>
      <c r="H97" s="43" t="s">
        <v>445</v>
      </c>
    </row>
    <row r="98" customFormat="false" ht="13.5" hidden="false" customHeight="true" outlineLevel="0" collapsed="false">
      <c r="A98" s="57" t="n">
        <v>45471</v>
      </c>
      <c r="B98" s="11" t="s">
        <v>441</v>
      </c>
      <c r="C98" s="44" t="n">
        <v>3</v>
      </c>
      <c r="D98" s="12" t="n">
        <v>335</v>
      </c>
      <c r="E98" s="12" t="n">
        <v>1005</v>
      </c>
      <c r="F98" s="11" t="s">
        <v>480</v>
      </c>
      <c r="G98" s="9" t="s">
        <v>12</v>
      </c>
      <c r="H98" s="45"/>
    </row>
    <row r="99" customFormat="false" ht="13.5" hidden="false" customHeight="true" outlineLevel="0" collapsed="false">
      <c r="A99" s="56" t="n">
        <v>45475</v>
      </c>
      <c r="B99" s="40" t="s">
        <v>447</v>
      </c>
      <c r="C99" s="41" t="n">
        <v>7</v>
      </c>
      <c r="D99" s="42" t="n">
        <v>340</v>
      </c>
      <c r="E99" s="42" t="n">
        <v>2380</v>
      </c>
      <c r="F99" s="40" t="s">
        <v>481</v>
      </c>
      <c r="G99" s="9" t="s">
        <v>12</v>
      </c>
      <c r="H99" s="43"/>
    </row>
    <row r="100" customFormat="false" ht="13.5" hidden="false" customHeight="true" outlineLevel="0" collapsed="false">
      <c r="A100" s="57" t="n">
        <v>45478</v>
      </c>
      <c r="B100" s="11" t="s">
        <v>437</v>
      </c>
      <c r="C100" s="44" t="n">
        <v>1</v>
      </c>
      <c r="D100" s="12" t="n">
        <v>335</v>
      </c>
      <c r="E100" s="12" t="n">
        <v>335</v>
      </c>
      <c r="F100" s="11" t="s">
        <v>482</v>
      </c>
      <c r="G100" s="9" t="s">
        <v>12</v>
      </c>
      <c r="H100" s="45"/>
    </row>
    <row r="101" customFormat="false" ht="13.5" hidden="false" customHeight="true" outlineLevel="0" collapsed="false">
      <c r="A101" s="56" t="n">
        <v>45482</v>
      </c>
      <c r="B101" s="40" t="s">
        <v>441</v>
      </c>
      <c r="C101" s="41" t="n">
        <v>1</v>
      </c>
      <c r="D101" s="42" t="n">
        <v>350</v>
      </c>
      <c r="E101" s="42" t="n">
        <v>350</v>
      </c>
      <c r="F101" s="40" t="s">
        <v>483</v>
      </c>
      <c r="G101" s="9" t="s">
        <v>12</v>
      </c>
      <c r="H101" s="43"/>
    </row>
    <row r="102" customFormat="false" ht="13.5" hidden="false" customHeight="true" outlineLevel="0" collapsed="false">
      <c r="A102" s="57" t="n">
        <v>45485</v>
      </c>
      <c r="B102" s="11" t="s">
        <v>441</v>
      </c>
      <c r="C102" s="44" t="n">
        <v>2</v>
      </c>
      <c r="D102" s="12" t="n">
        <v>330</v>
      </c>
      <c r="E102" s="12" t="n">
        <v>660</v>
      </c>
      <c r="F102" s="11" t="s">
        <v>484</v>
      </c>
      <c r="G102" s="9" t="s">
        <v>12</v>
      </c>
      <c r="H102" s="45"/>
    </row>
    <row r="103" customFormat="false" ht="13.5" hidden="false" customHeight="true" outlineLevel="0" collapsed="false">
      <c r="A103" s="56" t="n">
        <v>45489</v>
      </c>
      <c r="B103" s="40" t="s">
        <v>447</v>
      </c>
      <c r="C103" s="41" t="n">
        <v>6</v>
      </c>
      <c r="D103" s="42" t="n">
        <v>335</v>
      </c>
      <c r="E103" s="42" t="n">
        <v>2010</v>
      </c>
      <c r="F103" s="40" t="s">
        <v>485</v>
      </c>
      <c r="G103" s="9" t="s">
        <v>12</v>
      </c>
      <c r="H103" s="43"/>
    </row>
    <row r="104" customFormat="false" ht="13.5" hidden="false" customHeight="true" outlineLevel="0" collapsed="false">
      <c r="A104" s="57" t="n">
        <v>45492</v>
      </c>
      <c r="B104" s="11" t="s">
        <v>441</v>
      </c>
      <c r="C104" s="44" t="n">
        <v>2</v>
      </c>
      <c r="D104" s="12" t="n">
        <v>340</v>
      </c>
      <c r="E104" s="12" t="n">
        <v>680</v>
      </c>
      <c r="F104" s="11" t="s">
        <v>486</v>
      </c>
      <c r="G104" s="9" t="s">
        <v>12</v>
      </c>
      <c r="H104" s="45"/>
    </row>
    <row r="105" customFormat="false" ht="13.5" hidden="false" customHeight="true" outlineLevel="0" collapsed="false">
      <c r="A105" s="56" t="n">
        <v>45496</v>
      </c>
      <c r="B105" s="40" t="s">
        <v>441</v>
      </c>
      <c r="C105" s="41" t="n">
        <v>2</v>
      </c>
      <c r="D105" s="42" t="n">
        <v>330</v>
      </c>
      <c r="E105" s="42" t="n">
        <v>660</v>
      </c>
      <c r="F105" s="40" t="s">
        <v>487</v>
      </c>
      <c r="G105" s="9" t="s">
        <v>12</v>
      </c>
      <c r="H105" s="43"/>
    </row>
    <row r="106" customFormat="false" ht="13.5" hidden="false" customHeight="true" outlineLevel="0" collapsed="false">
      <c r="A106" s="57" t="n">
        <v>45499</v>
      </c>
      <c r="B106" s="11" t="s">
        <v>439</v>
      </c>
      <c r="C106" s="44" t="n">
        <v>8</v>
      </c>
      <c r="D106" s="12" t="n">
        <v>335</v>
      </c>
      <c r="E106" s="12" t="n">
        <v>2680</v>
      </c>
      <c r="F106" s="11" t="s">
        <v>488</v>
      </c>
      <c r="G106" s="9" t="s">
        <v>12</v>
      </c>
      <c r="H106" s="45"/>
    </row>
    <row r="107" customFormat="false" ht="13.5" hidden="false" customHeight="true" outlineLevel="0" collapsed="false">
      <c r="A107" s="56" t="n">
        <v>45503</v>
      </c>
      <c r="B107" s="40" t="s">
        <v>441</v>
      </c>
      <c r="C107" s="41" t="n">
        <v>1</v>
      </c>
      <c r="D107" s="42" t="n">
        <v>345</v>
      </c>
      <c r="E107" s="42" t="n">
        <v>345</v>
      </c>
      <c r="F107" s="40" t="s">
        <v>489</v>
      </c>
      <c r="G107" s="9" t="s">
        <v>12</v>
      </c>
      <c r="H107" s="43"/>
    </row>
    <row r="108" customFormat="false" ht="13.5" hidden="false" customHeight="true" outlineLevel="0" collapsed="false">
      <c r="A108" s="57" t="n">
        <v>45506</v>
      </c>
      <c r="B108" s="11" t="s">
        <v>441</v>
      </c>
      <c r="C108" s="44" t="n">
        <v>3</v>
      </c>
      <c r="D108" s="12" t="n">
        <v>340</v>
      </c>
      <c r="E108" s="12" t="n">
        <v>1020</v>
      </c>
      <c r="F108" s="11" t="s">
        <v>490</v>
      </c>
      <c r="G108" s="9" t="s">
        <v>12</v>
      </c>
      <c r="H108" s="45" t="s">
        <v>469</v>
      </c>
    </row>
    <row r="109" customFormat="false" ht="13.5" hidden="false" customHeight="true" outlineLevel="0" collapsed="false">
      <c r="A109" s="56" t="n">
        <v>45506</v>
      </c>
      <c r="B109" s="40" t="s">
        <v>437</v>
      </c>
      <c r="C109" s="41" t="n">
        <v>2</v>
      </c>
      <c r="D109" s="42" t="n">
        <v>340</v>
      </c>
      <c r="E109" s="42" t="n">
        <v>680</v>
      </c>
      <c r="F109" s="40" t="s">
        <v>491</v>
      </c>
      <c r="G109" s="9" t="s">
        <v>12</v>
      </c>
      <c r="H109" s="43"/>
    </row>
    <row r="110" customFormat="false" ht="13.5" hidden="false" customHeight="true" outlineLevel="0" collapsed="false">
      <c r="A110" s="57" t="n">
        <v>45507</v>
      </c>
      <c r="B110" s="11" t="s">
        <v>439</v>
      </c>
      <c r="C110" s="44" t="n">
        <v>4</v>
      </c>
      <c r="D110" s="12" t="n">
        <v>350</v>
      </c>
      <c r="E110" s="12" t="n">
        <v>1400</v>
      </c>
      <c r="F110" s="11" t="s">
        <v>492</v>
      </c>
      <c r="G110" s="9" t="s">
        <v>12</v>
      </c>
      <c r="H110" s="45"/>
    </row>
    <row r="111" customFormat="false" ht="13.5" hidden="false" customHeight="true" outlineLevel="0" collapsed="false">
      <c r="A111" s="56" t="n">
        <v>45510</v>
      </c>
      <c r="B111" s="40" t="s">
        <v>441</v>
      </c>
      <c r="C111" s="41" t="n">
        <v>1</v>
      </c>
      <c r="D111" s="42" t="n">
        <v>350</v>
      </c>
      <c r="E111" s="42" t="n">
        <v>350</v>
      </c>
      <c r="F111" s="40" t="s">
        <v>493</v>
      </c>
      <c r="G111" s="9" t="s">
        <v>12</v>
      </c>
      <c r="H111" s="43"/>
    </row>
    <row r="112" customFormat="false" ht="13.5" hidden="false" customHeight="true" outlineLevel="0" collapsed="false">
      <c r="A112" s="57" t="n">
        <v>45513</v>
      </c>
      <c r="B112" s="11" t="s">
        <v>437</v>
      </c>
      <c r="C112" s="44" t="n">
        <v>1</v>
      </c>
      <c r="D112" s="12" t="n">
        <v>350</v>
      </c>
      <c r="E112" s="12" t="n">
        <v>350</v>
      </c>
      <c r="F112" s="11" t="s">
        <v>494</v>
      </c>
      <c r="G112" s="9" t="s">
        <v>12</v>
      </c>
      <c r="H112" s="45" t="s">
        <v>469</v>
      </c>
    </row>
    <row r="113" customFormat="false" ht="13.5" hidden="false" customHeight="true" outlineLevel="0" collapsed="false">
      <c r="A113" s="56" t="n">
        <v>45517</v>
      </c>
      <c r="B113" s="40" t="s">
        <v>437</v>
      </c>
      <c r="C113" s="41" t="n">
        <v>1</v>
      </c>
      <c r="D113" s="42" t="n">
        <v>345</v>
      </c>
      <c r="E113" s="42" t="n">
        <v>345</v>
      </c>
      <c r="F113" s="40" t="s">
        <v>495</v>
      </c>
      <c r="G113" s="9" t="s">
        <v>12</v>
      </c>
      <c r="H113" s="43"/>
    </row>
    <row r="114" customFormat="false" ht="13.5" hidden="false" customHeight="true" outlineLevel="0" collapsed="false">
      <c r="A114" s="57" t="n">
        <v>45520</v>
      </c>
      <c r="B114" s="11" t="s">
        <v>439</v>
      </c>
      <c r="C114" s="44" t="n">
        <v>6</v>
      </c>
      <c r="D114" s="12" t="n">
        <v>335</v>
      </c>
      <c r="E114" s="12" t="n">
        <v>2010</v>
      </c>
      <c r="F114" s="11" t="s">
        <v>496</v>
      </c>
      <c r="G114" s="9" t="s">
        <v>12</v>
      </c>
      <c r="H114" s="45" t="s">
        <v>445</v>
      </c>
    </row>
    <row r="115" customFormat="false" ht="13.5" hidden="false" customHeight="true" outlineLevel="0" collapsed="false">
      <c r="A115" s="56" t="n">
        <v>45524</v>
      </c>
      <c r="B115" s="40" t="s">
        <v>447</v>
      </c>
      <c r="C115" s="41" t="n">
        <v>8</v>
      </c>
      <c r="D115" s="42" t="n">
        <v>345</v>
      </c>
      <c r="E115" s="42" t="n">
        <v>2760</v>
      </c>
      <c r="F115" s="40" t="s">
        <v>497</v>
      </c>
      <c r="G115" s="9" t="s">
        <v>12</v>
      </c>
      <c r="H115" s="43"/>
    </row>
    <row r="116" customFormat="false" ht="13.5" hidden="false" customHeight="true" outlineLevel="0" collapsed="false">
      <c r="A116" s="57" t="n">
        <v>45527</v>
      </c>
      <c r="B116" s="11" t="s">
        <v>447</v>
      </c>
      <c r="C116" s="44" t="n">
        <v>7</v>
      </c>
      <c r="D116" s="12" t="n">
        <v>335</v>
      </c>
      <c r="E116" s="12" t="n">
        <v>2345</v>
      </c>
      <c r="F116" s="11" t="s">
        <v>498</v>
      </c>
      <c r="G116" s="9" t="s">
        <v>12</v>
      </c>
      <c r="H116" s="45"/>
    </row>
    <row r="117" customFormat="false" ht="13.5" hidden="false" customHeight="true" outlineLevel="0" collapsed="false">
      <c r="A117" s="56" t="n">
        <v>45527</v>
      </c>
      <c r="B117" s="40" t="s">
        <v>437</v>
      </c>
      <c r="C117" s="41" t="n">
        <v>1</v>
      </c>
      <c r="D117" s="42" t="n">
        <v>345</v>
      </c>
      <c r="E117" s="42" t="n">
        <v>345</v>
      </c>
      <c r="F117" s="40" t="s">
        <v>499</v>
      </c>
      <c r="G117" s="9" t="s">
        <v>12</v>
      </c>
      <c r="H117" s="43"/>
    </row>
    <row r="118" customFormat="false" ht="13.5" hidden="false" customHeight="true" outlineLevel="0" collapsed="false">
      <c r="A118" s="57" t="n">
        <v>45528</v>
      </c>
      <c r="B118" s="11" t="s">
        <v>441</v>
      </c>
      <c r="C118" s="44" t="n">
        <v>3</v>
      </c>
      <c r="D118" s="12" t="n">
        <v>340</v>
      </c>
      <c r="E118" s="12" t="n">
        <v>1020</v>
      </c>
      <c r="F118" s="11" t="s">
        <v>500</v>
      </c>
      <c r="G118" s="9" t="s">
        <v>12</v>
      </c>
      <c r="H118" s="45"/>
    </row>
    <row r="119" customFormat="false" ht="13.5" hidden="false" customHeight="true" outlineLevel="0" collapsed="false">
      <c r="A119" s="56" t="n">
        <v>45531</v>
      </c>
      <c r="B119" s="40" t="s">
        <v>447</v>
      </c>
      <c r="C119" s="41" t="n">
        <v>5</v>
      </c>
      <c r="D119" s="42" t="n">
        <v>330</v>
      </c>
      <c r="E119" s="42" t="n">
        <v>1650</v>
      </c>
      <c r="F119" s="40" t="s">
        <v>501</v>
      </c>
      <c r="G119" s="9" t="s">
        <v>12</v>
      </c>
      <c r="H119" s="43"/>
    </row>
    <row r="120" customFormat="false" ht="13.5" hidden="false" customHeight="true" outlineLevel="0" collapsed="false">
      <c r="A120" s="57" t="n">
        <v>45534</v>
      </c>
      <c r="B120" s="11" t="s">
        <v>447</v>
      </c>
      <c r="C120" s="44" t="n">
        <v>5</v>
      </c>
      <c r="D120" s="12" t="n">
        <v>330</v>
      </c>
      <c r="E120" s="12" t="n">
        <v>1650</v>
      </c>
      <c r="F120" s="11" t="s">
        <v>502</v>
      </c>
      <c r="G120" s="9" t="s">
        <v>12</v>
      </c>
      <c r="H120" s="45"/>
    </row>
    <row r="121" customFormat="false" ht="13.5" hidden="false" customHeight="true" outlineLevel="0" collapsed="false">
      <c r="A121" s="56" t="n">
        <v>45541</v>
      </c>
      <c r="B121" s="40" t="s">
        <v>439</v>
      </c>
      <c r="C121" s="41" t="n">
        <v>8</v>
      </c>
      <c r="D121" s="42" t="n">
        <v>355</v>
      </c>
      <c r="E121" s="42" t="n">
        <v>2840</v>
      </c>
      <c r="F121" s="40" t="s">
        <v>503</v>
      </c>
      <c r="G121" s="9" t="s">
        <v>12</v>
      </c>
      <c r="H121" s="43"/>
    </row>
    <row r="122" customFormat="false" ht="13.5" hidden="false" customHeight="true" outlineLevel="0" collapsed="false">
      <c r="A122" s="57" t="n">
        <v>45545</v>
      </c>
      <c r="B122" s="11" t="s">
        <v>441</v>
      </c>
      <c r="C122" s="44" t="n">
        <v>1</v>
      </c>
      <c r="D122" s="12" t="n">
        <v>360</v>
      </c>
      <c r="E122" s="12" t="n">
        <v>360</v>
      </c>
      <c r="F122" s="11" t="s">
        <v>504</v>
      </c>
      <c r="G122" s="9" t="s">
        <v>12</v>
      </c>
      <c r="H122" s="45"/>
    </row>
    <row r="123" customFormat="false" ht="13.5" hidden="false" customHeight="true" outlineLevel="0" collapsed="false">
      <c r="A123" s="56" t="n">
        <v>45548</v>
      </c>
      <c r="B123" s="40" t="s">
        <v>437</v>
      </c>
      <c r="C123" s="41" t="n">
        <v>3</v>
      </c>
      <c r="D123" s="42" t="n">
        <v>355</v>
      </c>
      <c r="E123" s="42" t="n">
        <v>1065</v>
      </c>
      <c r="F123" s="40" t="s">
        <v>505</v>
      </c>
      <c r="G123" s="9" t="s">
        <v>12</v>
      </c>
      <c r="H123" s="43"/>
    </row>
    <row r="124" customFormat="false" ht="13.5" hidden="false" customHeight="true" outlineLevel="0" collapsed="false">
      <c r="A124" s="57" t="n">
        <v>45552</v>
      </c>
      <c r="B124" s="11" t="s">
        <v>447</v>
      </c>
      <c r="C124" s="44" t="n">
        <v>4</v>
      </c>
      <c r="D124" s="12" t="n">
        <v>340</v>
      </c>
      <c r="E124" s="12" t="n">
        <v>1360</v>
      </c>
      <c r="F124" s="11" t="s">
        <v>506</v>
      </c>
      <c r="G124" s="9" t="s">
        <v>12</v>
      </c>
      <c r="H124" s="45" t="s">
        <v>445</v>
      </c>
    </row>
    <row r="125" customFormat="false" ht="13.5" hidden="false" customHeight="true" outlineLevel="0" collapsed="false">
      <c r="A125" s="56" t="n">
        <v>45555</v>
      </c>
      <c r="B125" s="40" t="s">
        <v>441</v>
      </c>
      <c r="C125" s="41" t="n">
        <v>3</v>
      </c>
      <c r="D125" s="42" t="n">
        <v>360</v>
      </c>
      <c r="E125" s="42" t="n">
        <v>1080</v>
      </c>
      <c r="F125" s="40" t="s">
        <v>507</v>
      </c>
      <c r="G125" s="9" t="s">
        <v>12</v>
      </c>
      <c r="H125" s="43"/>
    </row>
    <row r="126" customFormat="false" ht="13.5" hidden="false" customHeight="true" outlineLevel="0" collapsed="false">
      <c r="A126" s="57" t="n">
        <v>45559</v>
      </c>
      <c r="B126" s="11" t="s">
        <v>447</v>
      </c>
      <c r="C126" s="44" t="n">
        <v>5</v>
      </c>
      <c r="D126" s="12" t="n">
        <v>360</v>
      </c>
      <c r="E126" s="12" t="n">
        <v>1800</v>
      </c>
      <c r="F126" s="11" t="s">
        <v>508</v>
      </c>
      <c r="G126" s="9" t="s">
        <v>12</v>
      </c>
      <c r="H126" s="45"/>
    </row>
    <row r="127" customFormat="false" ht="13.5" hidden="false" customHeight="true" outlineLevel="0" collapsed="false">
      <c r="A127" s="56" t="n">
        <v>45562</v>
      </c>
      <c r="B127" s="40" t="s">
        <v>439</v>
      </c>
      <c r="C127" s="41" t="n">
        <v>6</v>
      </c>
      <c r="D127" s="42" t="n">
        <v>355</v>
      </c>
      <c r="E127" s="42" t="n">
        <v>2130</v>
      </c>
      <c r="F127" s="40" t="s">
        <v>509</v>
      </c>
      <c r="G127" s="9" t="s">
        <v>12</v>
      </c>
      <c r="H127" s="43"/>
    </row>
    <row r="128" customFormat="false" ht="13.5" hidden="false" customHeight="true" outlineLevel="0" collapsed="false">
      <c r="A128" s="57" t="n">
        <v>45566</v>
      </c>
      <c r="B128" s="11" t="s">
        <v>447</v>
      </c>
      <c r="C128" s="44" t="n">
        <v>8</v>
      </c>
      <c r="D128" s="12" t="n">
        <v>360</v>
      </c>
      <c r="E128" s="12" t="n">
        <v>2880</v>
      </c>
      <c r="F128" s="11" t="s">
        <v>510</v>
      </c>
      <c r="G128" s="9" t="s">
        <v>12</v>
      </c>
      <c r="H128" s="45"/>
    </row>
    <row r="129" customFormat="false" ht="13.5" hidden="false" customHeight="true" outlineLevel="0" collapsed="false">
      <c r="A129" s="56" t="n">
        <v>45566</v>
      </c>
      <c r="B129" s="40" t="s">
        <v>447</v>
      </c>
      <c r="C129" s="41" t="n">
        <v>4</v>
      </c>
      <c r="D129" s="42" t="n">
        <v>350</v>
      </c>
      <c r="E129" s="42" t="n">
        <v>1400</v>
      </c>
      <c r="F129" s="40" t="s">
        <v>511</v>
      </c>
      <c r="G129" s="9" t="s">
        <v>12</v>
      </c>
      <c r="H129" s="43"/>
    </row>
    <row r="130" customFormat="false" ht="13.5" hidden="false" customHeight="true" outlineLevel="0" collapsed="false">
      <c r="A130" s="57" t="n">
        <v>45569</v>
      </c>
      <c r="B130" s="11" t="s">
        <v>437</v>
      </c>
      <c r="C130" s="44" t="n">
        <v>1</v>
      </c>
      <c r="D130" s="12" t="n">
        <v>355</v>
      </c>
      <c r="E130" s="12" t="n">
        <v>355</v>
      </c>
      <c r="F130" s="11" t="s">
        <v>512</v>
      </c>
      <c r="G130" s="9" t="s">
        <v>12</v>
      </c>
      <c r="H130" s="45"/>
    </row>
    <row r="131" customFormat="false" ht="13.5" hidden="false" customHeight="true" outlineLevel="0" collapsed="false">
      <c r="A131" s="56" t="n">
        <v>45580</v>
      </c>
      <c r="B131" s="40" t="s">
        <v>437</v>
      </c>
      <c r="C131" s="41" t="n">
        <v>1</v>
      </c>
      <c r="D131" s="42" t="n">
        <v>345</v>
      </c>
      <c r="E131" s="42" t="n">
        <v>345</v>
      </c>
      <c r="F131" s="40" t="s">
        <v>513</v>
      </c>
      <c r="G131" s="9" t="s">
        <v>12</v>
      </c>
      <c r="H131" s="43"/>
    </row>
    <row r="132" customFormat="false" ht="13.5" hidden="false" customHeight="true" outlineLevel="0" collapsed="false">
      <c r="A132" s="57" t="n">
        <v>45587</v>
      </c>
      <c r="B132" s="11" t="s">
        <v>439</v>
      </c>
      <c r="C132" s="44" t="n">
        <v>6</v>
      </c>
      <c r="D132" s="12" t="n">
        <v>345</v>
      </c>
      <c r="E132" s="12" t="n">
        <v>2070</v>
      </c>
      <c r="F132" s="11" t="s">
        <v>514</v>
      </c>
      <c r="G132" s="9" t="s">
        <v>12</v>
      </c>
      <c r="H132" s="45" t="s">
        <v>445</v>
      </c>
    </row>
    <row r="133" customFormat="false" ht="13.5" hidden="false" customHeight="true" outlineLevel="0" collapsed="false">
      <c r="A133" s="56" t="n">
        <v>45594</v>
      </c>
      <c r="B133" s="40" t="s">
        <v>441</v>
      </c>
      <c r="C133" s="41" t="n">
        <v>2</v>
      </c>
      <c r="D133" s="42" t="n">
        <v>355</v>
      </c>
      <c r="E133" s="42" t="n">
        <v>710</v>
      </c>
      <c r="F133" s="40" t="s">
        <v>515</v>
      </c>
      <c r="G133" s="9" t="s">
        <v>12</v>
      </c>
      <c r="H133" s="43" t="s">
        <v>469</v>
      </c>
    </row>
    <row r="134" customFormat="false" ht="13.5" hidden="false" customHeight="true" outlineLevel="0" collapsed="false">
      <c r="A134" s="57" t="n">
        <v>45597</v>
      </c>
      <c r="B134" s="11" t="s">
        <v>447</v>
      </c>
      <c r="C134" s="44" t="n">
        <v>6</v>
      </c>
      <c r="D134" s="12" t="n">
        <v>360</v>
      </c>
      <c r="E134" s="12" t="n">
        <v>2160</v>
      </c>
      <c r="F134" s="11" t="s">
        <v>516</v>
      </c>
      <c r="G134" s="9" t="s">
        <v>12</v>
      </c>
      <c r="H134" s="45"/>
    </row>
    <row r="135" customFormat="false" ht="13.5" hidden="false" customHeight="true" outlineLevel="0" collapsed="false">
      <c r="A135" s="56" t="n">
        <v>45601</v>
      </c>
      <c r="B135" s="40" t="s">
        <v>441</v>
      </c>
      <c r="C135" s="41" t="n">
        <v>2</v>
      </c>
      <c r="D135" s="42" t="n">
        <v>360</v>
      </c>
      <c r="E135" s="42" t="n">
        <v>720</v>
      </c>
      <c r="F135" s="40" t="s">
        <v>517</v>
      </c>
      <c r="G135" s="9" t="s">
        <v>12</v>
      </c>
      <c r="H135" s="43" t="s">
        <v>469</v>
      </c>
    </row>
    <row r="136" customFormat="false" ht="13.5" hidden="false" customHeight="true" outlineLevel="0" collapsed="false">
      <c r="A136" s="57" t="n">
        <v>45604</v>
      </c>
      <c r="B136" s="11" t="s">
        <v>447</v>
      </c>
      <c r="C136" s="44" t="n">
        <v>8</v>
      </c>
      <c r="D136" s="12" t="n">
        <v>370</v>
      </c>
      <c r="E136" s="12" t="n">
        <v>2960</v>
      </c>
      <c r="F136" s="11" t="s">
        <v>518</v>
      </c>
      <c r="G136" s="9" t="s">
        <v>12</v>
      </c>
      <c r="H136" s="45"/>
    </row>
    <row r="137" customFormat="false" ht="13.5" hidden="false" customHeight="true" outlineLevel="0" collapsed="false">
      <c r="A137" s="56" t="n">
        <v>45608</v>
      </c>
      <c r="B137" s="40" t="s">
        <v>447</v>
      </c>
      <c r="C137" s="41" t="n">
        <v>6</v>
      </c>
      <c r="D137" s="42" t="n">
        <v>370</v>
      </c>
      <c r="E137" s="42" t="n">
        <v>2220</v>
      </c>
      <c r="F137" s="40" t="s">
        <v>519</v>
      </c>
      <c r="G137" s="9" t="s">
        <v>12</v>
      </c>
      <c r="H137" s="43"/>
    </row>
    <row r="138" customFormat="false" ht="13.5" hidden="false" customHeight="true" outlineLevel="0" collapsed="false">
      <c r="A138" s="57" t="n">
        <v>45611</v>
      </c>
      <c r="B138" s="11" t="s">
        <v>439</v>
      </c>
      <c r="C138" s="44" t="n">
        <v>5</v>
      </c>
      <c r="D138" s="12" t="n">
        <v>375</v>
      </c>
      <c r="E138" s="12" t="n">
        <v>1875</v>
      </c>
      <c r="F138" s="11" t="s">
        <v>520</v>
      </c>
      <c r="G138" s="9" t="s">
        <v>12</v>
      </c>
      <c r="H138" s="45" t="s">
        <v>445</v>
      </c>
    </row>
    <row r="139" customFormat="false" ht="13.5" hidden="false" customHeight="true" outlineLevel="0" collapsed="false">
      <c r="A139" s="56" t="n">
        <v>45615</v>
      </c>
      <c r="B139" s="40" t="s">
        <v>437</v>
      </c>
      <c r="C139" s="41" t="n">
        <v>1</v>
      </c>
      <c r="D139" s="42" t="n">
        <v>370</v>
      </c>
      <c r="E139" s="42" t="n">
        <v>370</v>
      </c>
      <c r="F139" s="40" t="s">
        <v>521</v>
      </c>
      <c r="G139" s="9" t="s">
        <v>12</v>
      </c>
      <c r="H139" s="43"/>
    </row>
    <row r="140" customFormat="false" ht="13.5" hidden="false" customHeight="true" outlineLevel="0" collapsed="false">
      <c r="A140" s="57" t="n">
        <v>45618</v>
      </c>
      <c r="B140" s="11" t="s">
        <v>437</v>
      </c>
      <c r="C140" s="44" t="n">
        <v>1</v>
      </c>
      <c r="D140" s="12" t="n">
        <v>365</v>
      </c>
      <c r="E140" s="12" t="n">
        <v>365</v>
      </c>
      <c r="F140" s="11" t="s">
        <v>522</v>
      </c>
      <c r="G140" s="9" t="s">
        <v>12</v>
      </c>
      <c r="H140" s="45"/>
    </row>
    <row r="141" customFormat="false" ht="13.5" hidden="false" customHeight="true" outlineLevel="0" collapsed="false">
      <c r="A141" s="56" t="n">
        <v>45622</v>
      </c>
      <c r="B141" s="40" t="s">
        <v>439</v>
      </c>
      <c r="C141" s="41" t="n">
        <v>4</v>
      </c>
      <c r="D141" s="42" t="n">
        <v>370</v>
      </c>
      <c r="E141" s="42" t="n">
        <v>1480</v>
      </c>
      <c r="F141" s="40" t="s">
        <v>523</v>
      </c>
      <c r="G141" s="9" t="s">
        <v>12</v>
      </c>
      <c r="H141" s="43"/>
    </row>
    <row r="142" customFormat="false" ht="13.5" hidden="false" customHeight="true" outlineLevel="0" collapsed="false">
      <c r="A142" s="57" t="n">
        <v>45625</v>
      </c>
      <c r="B142" s="11" t="s">
        <v>437</v>
      </c>
      <c r="C142" s="44" t="n">
        <v>3</v>
      </c>
      <c r="D142" s="12" t="n">
        <v>365</v>
      </c>
      <c r="E142" s="12" t="n">
        <v>1095</v>
      </c>
      <c r="F142" s="11" t="s">
        <v>524</v>
      </c>
      <c r="G142" s="9" t="s">
        <v>12</v>
      </c>
      <c r="H142" s="45" t="s">
        <v>469</v>
      </c>
    </row>
    <row r="143" customFormat="false" ht="13.5" hidden="false" customHeight="true" outlineLevel="0" collapsed="false">
      <c r="A143" s="56" t="n">
        <v>45629</v>
      </c>
      <c r="B143" s="40" t="s">
        <v>441</v>
      </c>
      <c r="C143" s="41" t="n">
        <v>2</v>
      </c>
      <c r="D143" s="42" t="n">
        <v>375</v>
      </c>
      <c r="E143" s="42" t="n">
        <v>750</v>
      </c>
      <c r="F143" s="40" t="s">
        <v>525</v>
      </c>
      <c r="G143" s="9" t="s">
        <v>12</v>
      </c>
      <c r="H143" s="43"/>
    </row>
    <row r="144" customFormat="false" ht="13.5" hidden="false" customHeight="true" outlineLevel="0" collapsed="false">
      <c r="A144" s="57" t="n">
        <v>45632</v>
      </c>
      <c r="B144" s="11" t="s">
        <v>441</v>
      </c>
      <c r="C144" s="44" t="n">
        <v>1</v>
      </c>
      <c r="D144" s="12" t="n">
        <v>360</v>
      </c>
      <c r="E144" s="12" t="n">
        <v>360</v>
      </c>
      <c r="F144" s="11" t="s">
        <v>526</v>
      </c>
      <c r="G144" s="9" t="s">
        <v>12</v>
      </c>
      <c r="H144" s="45"/>
    </row>
    <row r="145" customFormat="false" ht="13.5" hidden="false" customHeight="true" outlineLevel="0" collapsed="false">
      <c r="A145" s="56" t="n">
        <v>45639</v>
      </c>
      <c r="B145" s="40" t="s">
        <v>441</v>
      </c>
      <c r="C145" s="41" t="n">
        <v>3</v>
      </c>
      <c r="D145" s="42" t="n">
        <v>365</v>
      </c>
      <c r="E145" s="42" t="n">
        <v>1095</v>
      </c>
      <c r="F145" s="40" t="s">
        <v>527</v>
      </c>
      <c r="G145" s="9" t="s">
        <v>12</v>
      </c>
      <c r="H145" s="43" t="s">
        <v>469</v>
      </c>
    </row>
    <row r="146" customFormat="false" ht="13.5" hidden="false" customHeight="true" outlineLevel="0" collapsed="false">
      <c r="A146" s="57" t="n">
        <v>45643</v>
      </c>
      <c r="B146" s="11" t="s">
        <v>437</v>
      </c>
      <c r="C146" s="44" t="n">
        <v>1</v>
      </c>
      <c r="D146" s="12" t="n">
        <v>375</v>
      </c>
      <c r="E146" s="12" t="n">
        <v>375</v>
      </c>
      <c r="F146" s="11" t="s">
        <v>528</v>
      </c>
      <c r="G146" s="9" t="s">
        <v>12</v>
      </c>
      <c r="H146" s="45"/>
    </row>
    <row r="147" customFormat="false" ht="13.5" hidden="false" customHeight="true" outlineLevel="0" collapsed="false">
      <c r="A147" s="56" t="n">
        <v>45646</v>
      </c>
      <c r="B147" s="40" t="s">
        <v>441</v>
      </c>
      <c r="C147" s="41" t="n">
        <v>1</v>
      </c>
      <c r="D147" s="42" t="n">
        <v>375</v>
      </c>
      <c r="E147" s="42" t="n">
        <v>375</v>
      </c>
      <c r="F147" s="40" t="s">
        <v>529</v>
      </c>
      <c r="G147" s="9" t="s">
        <v>12</v>
      </c>
      <c r="H147" s="43" t="s">
        <v>469</v>
      </c>
    </row>
    <row r="148" customFormat="false" ht="13.5" hidden="false" customHeight="true" outlineLevel="0" collapsed="false">
      <c r="A148" s="57" t="n">
        <v>45647</v>
      </c>
      <c r="B148" s="11" t="s">
        <v>441</v>
      </c>
      <c r="C148" s="44" t="n">
        <v>2</v>
      </c>
      <c r="D148" s="12" t="n">
        <v>375</v>
      </c>
      <c r="E148" s="12" t="n">
        <v>750</v>
      </c>
      <c r="F148" s="11" t="s">
        <v>530</v>
      </c>
      <c r="G148" s="9" t="s">
        <v>12</v>
      </c>
      <c r="H148" s="45"/>
    </row>
    <row r="149" customFormat="false" ht="13.5" hidden="false" customHeight="true" outlineLevel="0" collapsed="false">
      <c r="A149" s="56" t="n">
        <v>45650</v>
      </c>
      <c r="B149" s="40" t="s">
        <v>441</v>
      </c>
      <c r="C149" s="41" t="n">
        <v>2</v>
      </c>
      <c r="D149" s="42" t="n">
        <v>370</v>
      </c>
      <c r="E149" s="42" t="n">
        <v>740</v>
      </c>
      <c r="F149" s="40" t="s">
        <v>531</v>
      </c>
      <c r="G149" s="9" t="s">
        <v>12</v>
      </c>
      <c r="H149" s="43"/>
    </row>
    <row r="150" customFormat="false" ht="13.5" hidden="false" customHeight="true" outlineLevel="0" collapsed="false">
      <c r="A150" s="57" t="n">
        <v>45653</v>
      </c>
      <c r="B150" s="11" t="s">
        <v>439</v>
      </c>
      <c r="C150" s="44" t="n">
        <v>8</v>
      </c>
      <c r="D150" s="12" t="n">
        <v>360</v>
      </c>
      <c r="E150" s="12" t="n">
        <v>2880</v>
      </c>
      <c r="F150" s="11" t="s">
        <v>532</v>
      </c>
      <c r="G150" s="9" t="s">
        <v>12</v>
      </c>
      <c r="H150" s="45"/>
    </row>
    <row r="151" customFormat="false" ht="13.5" hidden="false" customHeight="true" outlineLevel="0" collapsed="false">
      <c r="A151" s="56" t="n">
        <v>45657</v>
      </c>
      <c r="B151" s="40" t="s">
        <v>441</v>
      </c>
      <c r="C151" s="41" t="n">
        <v>1</v>
      </c>
      <c r="D151" s="42" t="n">
        <v>375</v>
      </c>
      <c r="E151" s="42" t="n">
        <v>375</v>
      </c>
      <c r="F151" s="40" t="s">
        <v>533</v>
      </c>
      <c r="G151" s="9" t="s">
        <v>12</v>
      </c>
      <c r="H151" s="43" t="s">
        <v>469</v>
      </c>
    </row>
    <row r="152" customFormat="false" ht="13.5" hidden="false" customHeight="true" outlineLevel="0" collapsed="false">
      <c r="A152" s="57" t="n">
        <v>45660</v>
      </c>
      <c r="B152" s="11" t="s">
        <v>439</v>
      </c>
      <c r="C152" s="44" t="n">
        <v>4</v>
      </c>
      <c r="D152" s="12" t="n">
        <v>370</v>
      </c>
      <c r="E152" s="12" t="n">
        <v>1480</v>
      </c>
      <c r="F152" s="11" t="s">
        <v>534</v>
      </c>
      <c r="G152" s="9" t="s">
        <v>12</v>
      </c>
      <c r="H152" s="45" t="s">
        <v>445</v>
      </c>
    </row>
    <row r="153" customFormat="false" ht="13.5" hidden="false" customHeight="true" outlineLevel="0" collapsed="false">
      <c r="A153" s="56" t="n">
        <v>45664</v>
      </c>
      <c r="B153" s="40" t="s">
        <v>439</v>
      </c>
      <c r="C153" s="41" t="n">
        <v>4</v>
      </c>
      <c r="D153" s="42" t="n">
        <v>365</v>
      </c>
      <c r="E153" s="42" t="n">
        <v>1460</v>
      </c>
      <c r="F153" s="40" t="s">
        <v>535</v>
      </c>
      <c r="G153" s="9" t="s">
        <v>12</v>
      </c>
      <c r="H153" s="43"/>
    </row>
    <row r="154" customFormat="false" ht="13.5" hidden="false" customHeight="true" outlineLevel="0" collapsed="false">
      <c r="A154" s="57" t="n">
        <v>45667</v>
      </c>
      <c r="B154" s="11" t="s">
        <v>439</v>
      </c>
      <c r="C154" s="44" t="n">
        <v>8</v>
      </c>
      <c r="D154" s="12" t="n">
        <v>360</v>
      </c>
      <c r="E154" s="12" t="n">
        <v>2880</v>
      </c>
      <c r="F154" s="11" t="s">
        <v>536</v>
      </c>
      <c r="G154" s="9" t="s">
        <v>12</v>
      </c>
      <c r="H154" s="45"/>
    </row>
    <row r="155" customFormat="false" ht="13.5" hidden="false" customHeight="true" outlineLevel="0" collapsed="false">
      <c r="A155" s="56" t="n">
        <v>45671</v>
      </c>
      <c r="B155" s="40" t="s">
        <v>447</v>
      </c>
      <c r="C155" s="41" t="n">
        <v>6</v>
      </c>
      <c r="D155" s="42" t="n">
        <v>370</v>
      </c>
      <c r="E155" s="42" t="n">
        <v>2220</v>
      </c>
      <c r="F155" s="40" t="s">
        <v>537</v>
      </c>
      <c r="G155" s="9" t="s">
        <v>12</v>
      </c>
      <c r="H155" s="43"/>
    </row>
    <row r="156" customFormat="false" ht="13.5" hidden="false" customHeight="true" outlineLevel="0" collapsed="false">
      <c r="A156" s="57" t="n">
        <v>45678</v>
      </c>
      <c r="B156" s="11" t="s">
        <v>439</v>
      </c>
      <c r="C156" s="44" t="n">
        <v>5</v>
      </c>
      <c r="D156" s="12" t="n">
        <v>360</v>
      </c>
      <c r="E156" s="12" t="n">
        <v>1800</v>
      </c>
      <c r="F156" s="11" t="s">
        <v>538</v>
      </c>
      <c r="G156" s="9" t="s">
        <v>12</v>
      </c>
      <c r="H156" s="45"/>
    </row>
    <row r="157" customFormat="false" ht="13.5" hidden="false" customHeight="true" outlineLevel="0" collapsed="false">
      <c r="A157" s="56" t="n">
        <v>45681</v>
      </c>
      <c r="B157" s="40" t="s">
        <v>437</v>
      </c>
      <c r="C157" s="41" t="n">
        <v>2</v>
      </c>
      <c r="D157" s="42" t="n">
        <v>365</v>
      </c>
      <c r="E157" s="42" t="n">
        <v>730</v>
      </c>
      <c r="F157" s="40" t="s">
        <v>539</v>
      </c>
      <c r="G157" s="9" t="s">
        <v>12</v>
      </c>
      <c r="H157" s="43"/>
    </row>
    <row r="158" customFormat="false" ht="13.5" hidden="false" customHeight="true" outlineLevel="0" collapsed="false">
      <c r="A158" s="57" t="n">
        <v>45682</v>
      </c>
      <c r="B158" s="11" t="s">
        <v>447</v>
      </c>
      <c r="C158" s="44" t="n">
        <v>7</v>
      </c>
      <c r="D158" s="12" t="n">
        <v>365</v>
      </c>
      <c r="E158" s="12" t="n">
        <v>2555</v>
      </c>
      <c r="F158" s="11" t="s">
        <v>540</v>
      </c>
      <c r="G158" s="9" t="s">
        <v>12</v>
      </c>
      <c r="H158" s="45" t="s">
        <v>445</v>
      </c>
    </row>
    <row r="159" customFormat="false" ht="13.5" hidden="false" customHeight="true" outlineLevel="0" collapsed="false">
      <c r="A159" s="56" t="n">
        <v>45685</v>
      </c>
      <c r="B159" s="40" t="s">
        <v>441</v>
      </c>
      <c r="C159" s="41" t="n">
        <v>1</v>
      </c>
      <c r="D159" s="42" t="n">
        <v>370</v>
      </c>
      <c r="E159" s="42" t="n">
        <v>370</v>
      </c>
      <c r="F159" s="40" t="s">
        <v>541</v>
      </c>
      <c r="G159" s="9" t="s">
        <v>12</v>
      </c>
      <c r="H159" s="43"/>
    </row>
    <row r="160" customFormat="false" ht="13.5" hidden="false" customHeight="true" outlineLevel="0" collapsed="false">
      <c r="A160" s="57" t="n">
        <v>45688</v>
      </c>
      <c r="B160" s="11" t="s">
        <v>447</v>
      </c>
      <c r="C160" s="44" t="n">
        <v>5</v>
      </c>
      <c r="D160" s="12" t="n">
        <v>380</v>
      </c>
      <c r="E160" s="12" t="n">
        <v>1900</v>
      </c>
      <c r="F160" s="11" t="s">
        <v>542</v>
      </c>
      <c r="G160" s="9" t="s">
        <v>12</v>
      </c>
      <c r="H160" s="45" t="s">
        <v>445</v>
      </c>
    </row>
    <row r="161" customFormat="false" ht="13.5" hidden="false" customHeight="true" outlineLevel="0" collapsed="false">
      <c r="A161" s="56" t="n">
        <v>45692</v>
      </c>
      <c r="B161" s="40" t="s">
        <v>441</v>
      </c>
      <c r="C161" s="41" t="n">
        <v>1</v>
      </c>
      <c r="D161" s="42" t="n">
        <v>340</v>
      </c>
      <c r="E161" s="42" t="n">
        <v>340</v>
      </c>
      <c r="F161" s="40" t="s">
        <v>543</v>
      </c>
      <c r="G161" s="9" t="s">
        <v>12</v>
      </c>
      <c r="H161" s="43"/>
    </row>
    <row r="162" customFormat="false" ht="13.5" hidden="false" customHeight="true" outlineLevel="0" collapsed="false">
      <c r="A162" s="57" t="n">
        <v>45692</v>
      </c>
      <c r="B162" s="11" t="s">
        <v>447</v>
      </c>
      <c r="C162" s="44" t="n">
        <v>4</v>
      </c>
      <c r="D162" s="12" t="n">
        <v>350</v>
      </c>
      <c r="E162" s="12" t="n">
        <v>1400</v>
      </c>
      <c r="F162" s="11" t="s">
        <v>544</v>
      </c>
      <c r="G162" s="9" t="s">
        <v>12</v>
      </c>
      <c r="H162" s="45"/>
    </row>
    <row r="163" customFormat="false" ht="13.5" hidden="false" customHeight="true" outlineLevel="0" collapsed="false">
      <c r="A163" s="56" t="n">
        <v>45695</v>
      </c>
      <c r="B163" s="40" t="s">
        <v>441</v>
      </c>
      <c r="C163" s="41" t="n">
        <v>2</v>
      </c>
      <c r="D163" s="42" t="n">
        <v>360</v>
      </c>
      <c r="E163" s="42" t="n">
        <v>720</v>
      </c>
      <c r="F163" s="40" t="s">
        <v>545</v>
      </c>
      <c r="G163" s="9" t="s">
        <v>12</v>
      </c>
      <c r="H163" s="43"/>
    </row>
    <row r="164" customFormat="false" ht="15.75" hidden="false" customHeight="true" outlineLevel="0" collapsed="false">
      <c r="A164" s="46" t="s">
        <v>62</v>
      </c>
      <c r="B164" s="39"/>
      <c r="C164" s="47" t="n">
        <f aca="false">SUM(C61:C163)</f>
        <v>390</v>
      </c>
      <c r="D164" s="39"/>
      <c r="E164" s="47" t="n">
        <f aca="false">SUM(E61:E163)</f>
        <v>136840</v>
      </c>
      <c r="F164" s="39"/>
      <c r="G164" s="9" t="s">
        <v>12</v>
      </c>
      <c r="H164" s="39"/>
    </row>
  </sheetData>
  <mergeCells count="4">
    <mergeCell ref="A1:H1"/>
    <mergeCell ref="A2:H2"/>
    <mergeCell ref="A3:H3"/>
    <mergeCell ref="A59:H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6"/>
    <col collapsed="false" customWidth="true" hidden="false" outlineLevel="0" max="5" min="4" style="0" width="12"/>
    <col collapsed="false" customWidth="true" hidden="false" outlineLevel="0" max="6" min="6" style="0" width="60"/>
    <col collapsed="false" customWidth="true" hidden="false" outlineLevel="0" max="9" min="7" style="0" width="8"/>
  </cols>
  <sheetData>
    <row r="1" customFormat="false" ht="27.75" hidden="false" customHeight="true" outlineLevel="0" collapsed="false">
      <c r="A1" s="1" t="s">
        <v>546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547</v>
      </c>
      <c r="B2" s="2"/>
      <c r="C2" s="2"/>
      <c r="D2" s="2"/>
      <c r="E2" s="2"/>
      <c r="F2" s="2"/>
      <c r="G2" s="2"/>
      <c r="H2" s="2"/>
      <c r="I2" s="2"/>
    </row>
    <row r="3" customFormat="false" ht="15.75" hidden="false" customHeight="true" outlineLevel="0" collapsed="false">
      <c r="A3" s="5" t="s">
        <v>548</v>
      </c>
      <c r="B3" s="5"/>
      <c r="C3" s="5"/>
      <c r="D3" s="5"/>
      <c r="E3" s="5"/>
      <c r="F3" s="5"/>
      <c r="G3" s="5"/>
      <c r="H3" s="5"/>
      <c r="I3" s="5"/>
    </row>
    <row r="4" customFormat="false" ht="30" hidden="false" customHeight="true" outlineLevel="0" collapsed="false">
      <c r="A4" s="3" t="s">
        <v>549</v>
      </c>
      <c r="B4" s="3" t="s">
        <v>550</v>
      </c>
      <c r="C4" s="3" t="s">
        <v>551</v>
      </c>
      <c r="D4" s="3" t="s">
        <v>552</v>
      </c>
      <c r="E4" s="3" t="s">
        <v>553</v>
      </c>
      <c r="F4" s="4" t="s">
        <v>220</v>
      </c>
      <c r="G4" s="4" t="s">
        <v>554</v>
      </c>
      <c r="H4" s="3" t="s">
        <v>7</v>
      </c>
      <c r="I4" s="3" t="s">
        <v>555</v>
      </c>
    </row>
    <row r="5" customFormat="false" ht="15.75" hidden="false" customHeight="true" outlineLevel="0" collapsed="false">
      <c r="A5" s="40" t="s">
        <v>556</v>
      </c>
      <c r="B5" s="40" t="s">
        <v>557</v>
      </c>
      <c r="C5" s="40" t="s">
        <v>558</v>
      </c>
      <c r="D5" s="40" t="s">
        <v>559</v>
      </c>
      <c r="E5" s="40" t="s">
        <v>560</v>
      </c>
      <c r="F5" s="40" t="s">
        <v>222</v>
      </c>
      <c r="G5" s="40" t="s">
        <v>561</v>
      </c>
      <c r="H5" s="9" t="s">
        <v>562</v>
      </c>
      <c r="I5" s="58" t="s">
        <v>563</v>
      </c>
    </row>
    <row r="6" customFormat="false" ht="15.75" hidden="false" customHeight="true" outlineLevel="0" collapsed="false">
      <c r="A6" s="59" t="s">
        <v>564</v>
      </c>
      <c r="B6" s="59" t="s">
        <v>565</v>
      </c>
      <c r="C6" s="59" t="s">
        <v>566</v>
      </c>
      <c r="D6" s="59" t="s">
        <v>156</v>
      </c>
      <c r="E6" s="59" t="s">
        <v>567</v>
      </c>
      <c r="F6" s="59" t="s">
        <v>222</v>
      </c>
      <c r="G6" s="59" t="s">
        <v>568</v>
      </c>
      <c r="H6" s="27" t="s">
        <v>569</v>
      </c>
      <c r="I6" s="60" t="n">
        <v>15000</v>
      </c>
    </row>
    <row r="7" customFormat="false" ht="15.75" hidden="false" customHeight="true" outlineLevel="0" collapsed="false">
      <c r="A7" s="59" t="s">
        <v>570</v>
      </c>
      <c r="B7" s="59" t="s">
        <v>571</v>
      </c>
      <c r="C7" s="59" t="s">
        <v>558</v>
      </c>
      <c r="D7" s="59" t="s">
        <v>163</v>
      </c>
      <c r="E7" s="59" t="s">
        <v>572</v>
      </c>
      <c r="F7" s="59" t="s">
        <v>222</v>
      </c>
      <c r="G7" s="59" t="s">
        <v>568</v>
      </c>
      <c r="H7" s="27" t="s">
        <v>569</v>
      </c>
      <c r="I7" s="61" t="s">
        <v>563</v>
      </c>
    </row>
    <row r="8" customFormat="false" ht="15.75" hidden="false" customHeight="true" outlineLevel="0" collapsed="false">
      <c r="A8" s="11" t="s">
        <v>573</v>
      </c>
      <c r="B8" s="11" t="s">
        <v>574</v>
      </c>
      <c r="C8" s="11" t="s">
        <v>558</v>
      </c>
      <c r="D8" s="11" t="s">
        <v>575</v>
      </c>
      <c r="E8" s="11" t="s">
        <v>560</v>
      </c>
      <c r="F8" s="11" t="s">
        <v>222</v>
      </c>
      <c r="G8" s="11" t="s">
        <v>561</v>
      </c>
      <c r="H8" s="9" t="s">
        <v>562</v>
      </c>
      <c r="I8" s="62" t="s">
        <v>563</v>
      </c>
    </row>
    <row r="9" customFormat="false" ht="15.75" hidden="false" customHeight="true" outlineLevel="0" collapsed="false">
      <c r="A9" s="59" t="s">
        <v>576</v>
      </c>
      <c r="B9" s="59" t="s">
        <v>577</v>
      </c>
      <c r="C9" s="59" t="s">
        <v>578</v>
      </c>
      <c r="D9" s="59" t="s">
        <v>579</v>
      </c>
      <c r="E9" s="59" t="s">
        <v>580</v>
      </c>
      <c r="F9" s="59" t="s">
        <v>222</v>
      </c>
      <c r="G9" s="59" t="s">
        <v>568</v>
      </c>
      <c r="H9" s="27" t="s">
        <v>569</v>
      </c>
      <c r="I9" s="60" t="n">
        <v>5000</v>
      </c>
    </row>
    <row r="10" customFormat="false" ht="15.75" hidden="false" customHeight="true" outlineLevel="0" collapsed="false">
      <c r="A10" s="59" t="s">
        <v>581</v>
      </c>
      <c r="B10" s="59" t="s">
        <v>582</v>
      </c>
      <c r="C10" s="59" t="s">
        <v>583</v>
      </c>
      <c r="D10" s="59" t="s">
        <v>584</v>
      </c>
      <c r="E10" s="59" t="s">
        <v>567</v>
      </c>
      <c r="F10" s="59" t="s">
        <v>222</v>
      </c>
      <c r="G10" s="59" t="s">
        <v>568</v>
      </c>
      <c r="H10" s="27" t="s">
        <v>569</v>
      </c>
      <c r="I10" s="60" t="n">
        <v>8000</v>
      </c>
    </row>
    <row r="11" customFormat="false" ht="15.75" hidden="false" customHeight="true" outlineLevel="0" collapsed="false">
      <c r="A11" s="59" t="s">
        <v>585</v>
      </c>
      <c r="B11" s="59" t="s">
        <v>586</v>
      </c>
      <c r="C11" s="59" t="s">
        <v>587</v>
      </c>
      <c r="D11" s="59" t="s">
        <v>588</v>
      </c>
      <c r="E11" s="59" t="s">
        <v>589</v>
      </c>
      <c r="F11" s="59" t="s">
        <v>222</v>
      </c>
      <c r="G11" s="59" t="s">
        <v>568</v>
      </c>
      <c r="H11" s="27" t="s">
        <v>569</v>
      </c>
      <c r="I11" s="60" t="n">
        <v>10000</v>
      </c>
    </row>
    <row r="12" customFormat="false" ht="15.75" hidden="false" customHeight="true" outlineLevel="0" collapsed="false">
      <c r="A12" s="11" t="s">
        <v>590</v>
      </c>
      <c r="B12" s="11" t="s">
        <v>591</v>
      </c>
      <c r="C12" s="11" t="s">
        <v>592</v>
      </c>
      <c r="D12" s="11" t="s">
        <v>593</v>
      </c>
      <c r="E12" s="11" t="s">
        <v>560</v>
      </c>
      <c r="F12" s="11" t="s">
        <v>222</v>
      </c>
      <c r="G12" s="11" t="s">
        <v>561</v>
      </c>
      <c r="H12" s="9" t="s">
        <v>562</v>
      </c>
      <c r="I12" s="62" t="s">
        <v>563</v>
      </c>
    </row>
    <row r="13" customFormat="false" ht="15.75" hidden="false" customHeight="true" outlineLevel="0" collapsed="false">
      <c r="A13" s="59" t="s">
        <v>594</v>
      </c>
      <c r="B13" s="59" t="s">
        <v>595</v>
      </c>
      <c r="C13" s="59" t="s">
        <v>596</v>
      </c>
      <c r="D13" s="59" t="s">
        <v>597</v>
      </c>
      <c r="E13" s="59" t="s">
        <v>567</v>
      </c>
      <c r="F13" s="59" t="s">
        <v>222</v>
      </c>
      <c r="G13" s="59" t="s">
        <v>568</v>
      </c>
      <c r="H13" s="27" t="s">
        <v>569</v>
      </c>
      <c r="I13" s="60" t="n">
        <v>3000</v>
      </c>
    </row>
    <row r="15" customFormat="false" ht="15.75" hidden="false" customHeight="true" outlineLevel="0" collapsed="false">
      <c r="A15" s="5" t="s">
        <v>598</v>
      </c>
      <c r="B15" s="5"/>
      <c r="C15" s="5"/>
      <c r="D15" s="5"/>
      <c r="E15" s="5"/>
      <c r="F15" s="5"/>
      <c r="G15" s="5"/>
      <c r="H15" s="5"/>
      <c r="I15" s="5"/>
    </row>
    <row r="16" customFormat="false" ht="30" hidden="false" customHeight="true" outlineLevel="0" collapsed="false">
      <c r="A16" s="3" t="s">
        <v>599</v>
      </c>
      <c r="B16" s="3" t="s">
        <v>600</v>
      </c>
      <c r="C16" s="4" t="s">
        <v>5</v>
      </c>
      <c r="D16" s="3" t="s">
        <v>6</v>
      </c>
      <c r="E16" s="3" t="s">
        <v>7</v>
      </c>
      <c r="F16" s="3" t="s">
        <v>8</v>
      </c>
      <c r="G16" s="3"/>
      <c r="H16" s="3"/>
      <c r="I16" s="3"/>
    </row>
    <row r="17" customFormat="false" ht="15.75" hidden="false" customHeight="true" outlineLevel="0" collapsed="false">
      <c r="A17" s="40" t="s">
        <v>601</v>
      </c>
      <c r="B17" s="42" t="n">
        <v>9</v>
      </c>
      <c r="C17" s="63" t="n">
        <v>9</v>
      </c>
      <c r="D17" s="41" t="n">
        <v>0</v>
      </c>
      <c r="E17" s="9" t="s">
        <v>12</v>
      </c>
      <c r="F17" s="64"/>
      <c r="G17" s="48"/>
      <c r="H17" s="48"/>
      <c r="I17" s="48"/>
    </row>
    <row r="18" customFormat="false" ht="15.75" hidden="false" customHeight="true" outlineLevel="0" collapsed="false">
      <c r="A18" s="11" t="s">
        <v>602</v>
      </c>
      <c r="B18" s="12" t="n">
        <v>3</v>
      </c>
      <c r="C18" s="13" t="n">
        <v>3</v>
      </c>
      <c r="D18" s="44" t="n">
        <v>0</v>
      </c>
      <c r="E18" s="9" t="s">
        <v>12</v>
      </c>
      <c r="F18" s="14" t="s">
        <v>603</v>
      </c>
      <c r="G18" s="49"/>
      <c r="H18" s="49"/>
      <c r="I18" s="49"/>
    </row>
    <row r="19" customFormat="false" ht="15.75" hidden="false" customHeight="true" outlineLevel="0" collapsed="false">
      <c r="A19" s="40" t="s">
        <v>604</v>
      </c>
      <c r="B19" s="42" t="n">
        <v>6</v>
      </c>
      <c r="C19" s="63" t="n">
        <v>6</v>
      </c>
      <c r="D19" s="41" t="n">
        <v>0</v>
      </c>
      <c r="E19" s="9" t="s">
        <v>12</v>
      </c>
      <c r="F19" s="64" t="s">
        <v>605</v>
      </c>
      <c r="G19" s="48"/>
      <c r="H19" s="48"/>
      <c r="I19" s="48"/>
    </row>
    <row r="20" customFormat="false" ht="15.75" hidden="false" customHeight="true" outlineLevel="0" collapsed="false">
      <c r="A20" s="11" t="s">
        <v>606</v>
      </c>
      <c r="B20" s="12" t="n">
        <v>41000</v>
      </c>
      <c r="C20" s="13" t="n">
        <v>41000</v>
      </c>
      <c r="D20" s="44" t="n">
        <v>0</v>
      </c>
      <c r="E20" s="9" t="s">
        <v>12</v>
      </c>
      <c r="F20" s="14" t="s">
        <v>607</v>
      </c>
      <c r="G20" s="49"/>
      <c r="H20" s="49"/>
      <c r="I20" s="49"/>
    </row>
  </sheetData>
  <mergeCells count="4">
    <mergeCell ref="A1:I1"/>
    <mergeCell ref="A2:I2"/>
    <mergeCell ref="A3:I3"/>
    <mergeCell ref="A15:I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18"/>
    <col collapsed="false" customWidth="true" hidden="false" outlineLevel="0" max="7" min="7" style="0" width="12"/>
  </cols>
  <sheetData>
    <row r="1" customFormat="false" ht="27.75" hidden="false" customHeight="true" outlineLevel="0" collapsed="false">
      <c r="A1" s="1" t="s">
        <v>608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609</v>
      </c>
      <c r="B2" s="2"/>
      <c r="C2" s="2"/>
      <c r="D2" s="2"/>
      <c r="E2" s="2"/>
      <c r="F2" s="2"/>
      <c r="G2" s="2"/>
    </row>
    <row r="3" customFormat="false" ht="15.75" hidden="false" customHeight="true" outlineLevel="0" collapsed="false">
      <c r="A3" s="5" t="s">
        <v>610</v>
      </c>
      <c r="B3" s="5"/>
      <c r="C3" s="5"/>
      <c r="D3" s="5"/>
      <c r="E3" s="5"/>
      <c r="F3" s="5"/>
      <c r="G3" s="5"/>
    </row>
    <row r="4" customFormat="false" ht="30" hidden="false" customHeight="true" outlineLevel="0" collapsed="false">
      <c r="A4" s="3" t="s">
        <v>44</v>
      </c>
      <c r="B4" s="3" t="s">
        <v>611</v>
      </c>
      <c r="C4" s="3" t="s">
        <v>612</v>
      </c>
      <c r="D4" s="3" t="s">
        <v>613</v>
      </c>
      <c r="E4" s="4" t="s">
        <v>614</v>
      </c>
      <c r="F4" s="4" t="s">
        <v>615</v>
      </c>
      <c r="G4" s="3" t="s">
        <v>7</v>
      </c>
    </row>
    <row r="5" customFormat="false" ht="13.5" hidden="false" customHeight="true" outlineLevel="0" collapsed="false">
      <c r="A5" s="40" t="s">
        <v>198</v>
      </c>
      <c r="B5" s="42" t="n">
        <v>0</v>
      </c>
      <c r="C5" s="65" t="n">
        <v>532609</v>
      </c>
      <c r="D5" s="66" t="n">
        <v>-532609</v>
      </c>
      <c r="E5" s="42" t="n">
        <v>0</v>
      </c>
      <c r="F5" s="65" t="n">
        <v>532609</v>
      </c>
      <c r="G5" s="9" t="s">
        <v>12</v>
      </c>
    </row>
    <row r="6" customFormat="false" ht="13.5" hidden="false" customHeight="true" outlineLevel="0" collapsed="false">
      <c r="A6" s="11" t="s">
        <v>199</v>
      </c>
      <c r="B6" s="12" t="n">
        <v>0</v>
      </c>
      <c r="C6" s="67" t="n">
        <v>1363145</v>
      </c>
      <c r="D6" s="68" t="n">
        <v>-1363145</v>
      </c>
      <c r="E6" s="12" t="n">
        <v>0</v>
      </c>
      <c r="F6" s="67" t="n">
        <v>1363145</v>
      </c>
      <c r="G6" s="9" t="s">
        <v>12</v>
      </c>
    </row>
    <row r="7" customFormat="false" ht="13.5" hidden="false" customHeight="true" outlineLevel="0" collapsed="false">
      <c r="A7" s="40" t="s">
        <v>49</v>
      </c>
      <c r="B7" s="65" t="n">
        <v>119670</v>
      </c>
      <c r="C7" s="65" t="n">
        <v>194497</v>
      </c>
      <c r="D7" s="66" t="n">
        <v>-74827</v>
      </c>
      <c r="E7" s="65" t="n">
        <v>119670</v>
      </c>
      <c r="F7" s="65" t="n">
        <v>194497</v>
      </c>
      <c r="G7" s="9" t="s">
        <v>12</v>
      </c>
    </row>
    <row r="8" customFormat="false" ht="13.5" hidden="false" customHeight="true" outlineLevel="0" collapsed="false">
      <c r="A8" s="11" t="s">
        <v>51</v>
      </c>
      <c r="B8" s="67" t="n">
        <v>195595</v>
      </c>
      <c r="C8" s="67" t="n">
        <v>207509</v>
      </c>
      <c r="D8" s="68" t="n">
        <v>-11914</v>
      </c>
      <c r="E8" s="67" t="n">
        <v>195595</v>
      </c>
      <c r="F8" s="67" t="n">
        <v>207509</v>
      </c>
      <c r="G8" s="9" t="s">
        <v>12</v>
      </c>
    </row>
    <row r="9" customFormat="false" ht="13.5" hidden="false" customHeight="true" outlineLevel="0" collapsed="false">
      <c r="A9" s="40" t="s">
        <v>52</v>
      </c>
      <c r="B9" s="65" t="n">
        <v>186585</v>
      </c>
      <c r="C9" s="65" t="n">
        <v>226759</v>
      </c>
      <c r="D9" s="66" t="n">
        <v>-40174</v>
      </c>
      <c r="E9" s="65" t="n">
        <v>186585</v>
      </c>
      <c r="F9" s="65" t="n">
        <v>226759</v>
      </c>
      <c r="G9" s="9" t="s">
        <v>12</v>
      </c>
    </row>
    <row r="10" customFormat="false" ht="13.5" hidden="false" customHeight="true" outlineLevel="0" collapsed="false">
      <c r="A10" s="11" t="s">
        <v>53</v>
      </c>
      <c r="B10" s="67" t="n">
        <v>184270</v>
      </c>
      <c r="C10" s="67" t="n">
        <v>184124</v>
      </c>
      <c r="D10" s="69" t="n">
        <v>146</v>
      </c>
      <c r="E10" s="67" t="n">
        <v>184270</v>
      </c>
      <c r="F10" s="67" t="n">
        <v>184124</v>
      </c>
      <c r="G10" s="9" t="s">
        <v>12</v>
      </c>
    </row>
    <row r="11" customFormat="false" ht="13.5" hidden="false" customHeight="true" outlineLevel="0" collapsed="false">
      <c r="A11" s="40" t="s">
        <v>54</v>
      </c>
      <c r="B11" s="65" t="n">
        <v>220600</v>
      </c>
      <c r="C11" s="65" t="n">
        <v>205648</v>
      </c>
      <c r="D11" s="70" t="n">
        <v>14952</v>
      </c>
      <c r="E11" s="65" t="n">
        <v>220600</v>
      </c>
      <c r="F11" s="65" t="n">
        <v>205648</v>
      </c>
      <c r="G11" s="9" t="s">
        <v>12</v>
      </c>
    </row>
    <row r="12" customFormat="false" ht="13.5" hidden="false" customHeight="true" outlineLevel="0" collapsed="false">
      <c r="A12" s="11" t="s">
        <v>55</v>
      </c>
      <c r="B12" s="67" t="n">
        <v>235925</v>
      </c>
      <c r="C12" s="67" t="n">
        <v>243962</v>
      </c>
      <c r="D12" s="68" t="n">
        <v>-8037</v>
      </c>
      <c r="E12" s="67" t="n">
        <v>235925</v>
      </c>
      <c r="F12" s="67" t="n">
        <v>243962</v>
      </c>
      <c r="G12" s="9" t="s">
        <v>12</v>
      </c>
    </row>
    <row r="13" customFormat="false" ht="13.5" hidden="false" customHeight="true" outlineLevel="0" collapsed="false">
      <c r="A13" s="40" t="s">
        <v>56</v>
      </c>
      <c r="B13" s="65" t="n">
        <v>256135</v>
      </c>
      <c r="C13" s="65" t="n">
        <v>190772</v>
      </c>
      <c r="D13" s="70" t="n">
        <v>65363</v>
      </c>
      <c r="E13" s="65" t="n">
        <v>256135</v>
      </c>
      <c r="F13" s="65" t="n">
        <v>190772</v>
      </c>
      <c r="G13" s="9" t="s">
        <v>12</v>
      </c>
    </row>
    <row r="14" customFormat="false" ht="13.5" hidden="false" customHeight="true" outlineLevel="0" collapsed="false">
      <c r="A14" s="11" t="s">
        <v>57</v>
      </c>
      <c r="B14" s="67" t="n">
        <v>323260</v>
      </c>
      <c r="C14" s="67" t="n">
        <v>244281</v>
      </c>
      <c r="D14" s="69" t="n">
        <v>78979</v>
      </c>
      <c r="E14" s="67" t="n">
        <v>323260</v>
      </c>
      <c r="F14" s="67" t="n">
        <v>244281</v>
      </c>
      <c r="G14" s="9" t="s">
        <v>12</v>
      </c>
    </row>
    <row r="15" customFormat="false" ht="13.5" hidden="false" customHeight="true" outlineLevel="0" collapsed="false">
      <c r="A15" s="40" t="s">
        <v>58</v>
      </c>
      <c r="B15" s="65" t="n">
        <v>405745</v>
      </c>
      <c r="C15" s="65" t="n">
        <v>279713</v>
      </c>
      <c r="D15" s="70" t="n">
        <v>126032</v>
      </c>
      <c r="E15" s="65" t="n">
        <v>405745</v>
      </c>
      <c r="F15" s="65" t="n">
        <v>279713</v>
      </c>
      <c r="G15" s="9" t="s">
        <v>12</v>
      </c>
    </row>
    <row r="16" customFormat="false" ht="13.5" hidden="false" customHeight="true" outlineLevel="0" collapsed="false">
      <c r="A16" s="11" t="s">
        <v>59</v>
      </c>
      <c r="B16" s="67" t="n">
        <v>304200</v>
      </c>
      <c r="C16" s="67" t="n">
        <v>265215</v>
      </c>
      <c r="D16" s="69" t="n">
        <v>38985</v>
      </c>
      <c r="E16" s="67" t="n">
        <v>304200</v>
      </c>
      <c r="F16" s="67" t="n">
        <v>265215</v>
      </c>
      <c r="G16" s="9" t="s">
        <v>12</v>
      </c>
    </row>
    <row r="17" customFormat="false" ht="13.5" hidden="false" customHeight="true" outlineLevel="0" collapsed="false">
      <c r="A17" s="40" t="s">
        <v>60</v>
      </c>
      <c r="B17" s="65" t="n">
        <v>119395</v>
      </c>
      <c r="C17" s="65" t="n">
        <v>209258</v>
      </c>
      <c r="D17" s="66" t="n">
        <v>-89863</v>
      </c>
      <c r="E17" s="65" t="n">
        <v>119395</v>
      </c>
      <c r="F17" s="65" t="n">
        <v>209258</v>
      </c>
      <c r="G17" s="9" t="s">
        <v>12</v>
      </c>
    </row>
    <row r="18" customFormat="false" ht="13.5" hidden="false" customHeight="true" outlineLevel="0" collapsed="false">
      <c r="A18" s="11" t="s">
        <v>61</v>
      </c>
      <c r="B18" s="67" t="n">
        <v>38460</v>
      </c>
      <c r="C18" s="67" t="n">
        <v>15985</v>
      </c>
      <c r="D18" s="69" t="n">
        <v>22475</v>
      </c>
      <c r="E18" s="67" t="n">
        <v>38460</v>
      </c>
      <c r="F18" s="67" t="n">
        <v>15985</v>
      </c>
      <c r="G18" s="9" t="s">
        <v>12</v>
      </c>
    </row>
    <row r="19" customFormat="false" ht="18" hidden="false" customHeight="true" outlineLevel="0" collapsed="false">
      <c r="A19" s="46" t="s">
        <v>62</v>
      </c>
      <c r="B19" s="47" t="n">
        <f aca="false">SUM(B5:B18)</f>
        <v>2589840</v>
      </c>
      <c r="C19" s="47" t="n">
        <f aca="false">SUM(C5:C18)</f>
        <v>4363477</v>
      </c>
      <c r="D19" s="47" t="n">
        <f aca="false">B19-C19</f>
        <v>-1773637</v>
      </c>
      <c r="E19" s="47" t="n">
        <f aca="false">SUM(E5:E18)</f>
        <v>2589840</v>
      </c>
      <c r="F19" s="47" t="n">
        <f aca="false">SUM(F5:F18)</f>
        <v>4363477</v>
      </c>
      <c r="G19" s="9" t="s">
        <v>12</v>
      </c>
    </row>
    <row r="21" customFormat="false" ht="15.75" hidden="false" customHeight="true" outlineLevel="0" collapsed="false">
      <c r="A21" s="5" t="s">
        <v>616</v>
      </c>
      <c r="B21" s="5"/>
      <c r="C21" s="5"/>
      <c r="D21" s="5"/>
      <c r="E21" s="5"/>
      <c r="F21" s="5"/>
      <c r="G21" s="5"/>
    </row>
    <row r="22" customFormat="false" ht="13.5" hidden="false" customHeight="true" outlineLevel="0" collapsed="false">
      <c r="A22" s="40" t="s">
        <v>617</v>
      </c>
      <c r="B22" s="42" t="n">
        <v>1698000</v>
      </c>
      <c r="C22" s="50" t="n">
        <v>0.655638958391252</v>
      </c>
      <c r="D22" s="48"/>
      <c r="E22" s="48"/>
      <c r="F22" s="48"/>
      <c r="G22" s="48"/>
    </row>
    <row r="23" customFormat="false" ht="13.5" hidden="false" customHeight="true" outlineLevel="0" collapsed="false">
      <c r="A23" s="11" t="s">
        <v>618</v>
      </c>
      <c r="B23" s="12" t="n">
        <v>619000</v>
      </c>
      <c r="C23" s="51" t="n">
        <v>0.239010904148519</v>
      </c>
      <c r="D23" s="49"/>
      <c r="E23" s="49"/>
      <c r="F23" s="49"/>
      <c r="G23" s="49"/>
    </row>
    <row r="24" customFormat="false" ht="13.5" hidden="false" customHeight="true" outlineLevel="0" collapsed="false">
      <c r="A24" s="40" t="s">
        <v>619</v>
      </c>
      <c r="B24" s="42" t="n">
        <v>136840</v>
      </c>
      <c r="C24" s="50" t="n">
        <v>0.0528372409106354</v>
      </c>
      <c r="D24" s="48"/>
      <c r="E24" s="48"/>
      <c r="F24" s="48"/>
      <c r="G24" s="48"/>
    </row>
    <row r="25" customFormat="false" ht="13.5" hidden="false" customHeight="true" outlineLevel="0" collapsed="false">
      <c r="A25" s="11" t="s">
        <v>620</v>
      </c>
      <c r="B25" s="12" t="n">
        <v>136000</v>
      </c>
      <c r="C25" s="51" t="n">
        <v>0.0525128965495938</v>
      </c>
      <c r="D25" s="49"/>
      <c r="E25" s="49"/>
      <c r="F25" s="49"/>
      <c r="G25" s="49"/>
    </row>
  </sheetData>
  <mergeCells count="4">
    <mergeCell ref="A1:G1"/>
    <mergeCell ref="A2:G2"/>
    <mergeCell ref="A3:G3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2026-03-12T11:56:29Z</dcterms:created>
  <dc:creator>openpyxl</dc:creator>
  <dc:description/>
  <dc:language>en-US</dc:language>
  <cp:lastModifiedBy/>
  <dcterms:modified xsi:type="dcterms:W3CDTF">2026-03-12T11:56:29Z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