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ummary" sheetId="1" state="visible" r:id="rId1"/>
    <sheet name="2. Revenue Detail" sheetId="2" state="visible" r:id="rId2"/>
    <sheet name="3. Expense Detail" sheetId="3" state="visible" r:id="rId3"/>
    <sheet name="4. Inventory" sheetId="4" state="visible" r:id="rId4"/>
    <sheet name="5. Poultry Farm" sheetId="5" state="visible" r:id="rId5"/>
    <sheet name="6. Compliance" sheetId="6" state="visible" r:id="rId6"/>
    <sheet name="7. Monthly P&amp;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FFFFFF"/>
      <sz val="9"/>
    </font>
    <font>
      <name val="Arial"/>
      <b val="1"/>
      <color rgb="00FFFFFF"/>
      <sz val="8"/>
    </font>
    <font>
      <name val="Arial"/>
      <b val="1"/>
      <color rgb="00FFFFFF"/>
      <sz val="9"/>
    </font>
    <font>
      <name val="Arial"/>
      <color rgb="00000000"/>
      <sz val="8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sz val="8"/>
    </font>
    <font>
      <name val="Arial"/>
      <color rgb="00555555"/>
      <sz val="8"/>
    </font>
    <font>
      <name val="Arial"/>
      <b val="1"/>
      <color rgb="00FFFFFF"/>
      <sz val="10"/>
    </font>
    <font>
      <name val="Arial"/>
      <color rgb="00C00000"/>
      <sz val="9"/>
    </font>
    <font>
      <name val="Arial"/>
      <color rgb="00444444"/>
      <sz val="8"/>
    </font>
    <font>
      <name val="Arial"/>
      <b val="1"/>
      <color rgb="00000000"/>
      <sz val="8"/>
    </font>
    <font>
      <name val="Arial"/>
      <color rgb="00006400"/>
      <sz val="8"/>
    </font>
    <font>
      <name val="Arial"/>
      <color rgb="00C00000"/>
      <sz val="8"/>
    </font>
    <font>
      <name val="Arial"/>
      <b val="1"/>
      <color rgb="00C00000"/>
      <sz val="9"/>
    </font>
    <font>
      <name val="Arial"/>
      <b val="1"/>
      <color rgb="00006400"/>
      <sz val="9"/>
    </font>
  </fonts>
  <fills count="15">
    <fill>
      <patternFill/>
    </fill>
    <fill>
      <patternFill patternType="gray125"/>
    </fill>
    <fill>
      <patternFill patternType="solid">
        <fgColor rgb="001F4E35"/>
      </patternFill>
    </fill>
    <fill>
      <patternFill patternType="solid">
        <fgColor rgb="002E7D52"/>
      </patternFill>
    </fill>
    <fill>
      <patternFill patternType="solid">
        <fgColor rgb="00B8860B"/>
      </patternFill>
    </fill>
    <fill>
      <patternFill patternType="solid">
        <fgColor rgb="00E8F5EE"/>
      </patternFill>
    </fill>
    <fill>
      <patternFill patternType="solid">
        <fgColor rgb="00D4EDDA"/>
      </patternFill>
    </fill>
    <fill>
      <patternFill patternType="solid">
        <fgColor rgb="00D0EAD8"/>
      </patternFill>
    </fill>
    <fill>
      <patternFill patternType="solid">
        <fgColor rgb="00FFF0C0"/>
      </patternFill>
    </fill>
    <fill>
      <patternFill patternType="solid">
        <fgColor rgb="00E3F2FD"/>
      </patternFill>
    </fill>
    <fill>
      <patternFill patternType="solid">
        <fgColor rgb="00C9E5FB"/>
      </patternFill>
    </fill>
    <fill>
      <patternFill patternType="solid">
        <fgColor rgb="00F3E5F5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5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5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3" fontId="6" fillId="8" borderId="1" applyAlignment="1" pivotButton="0" quotePrefix="0" xfId="0">
      <alignment horizontal="right" vertical="center"/>
    </xf>
    <xf numFmtId="3" fontId="7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5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3" fontId="6" fillId="9" borderId="1" applyAlignment="1" pivotButton="0" quotePrefix="0" xfId="0">
      <alignment horizontal="right" vertical="center"/>
    </xf>
    <xf numFmtId="3" fontId="7" fillId="9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5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3" fontId="6" fillId="10" borderId="1" applyAlignment="1" pivotButton="0" quotePrefix="0" xfId="0">
      <alignment horizontal="right" vertical="center"/>
    </xf>
    <xf numFmtId="3" fontId="7" fillId="10" borderId="1" applyAlignment="1" pivotButton="0" quotePrefix="0" xfId="0">
      <alignment horizontal="right" vertical="center"/>
    </xf>
    <xf numFmtId="0" fontId="9" fillId="10" borderId="1" applyAlignment="1" pivotButton="0" quotePrefix="0" xfId="0">
      <alignment horizontal="left" vertical="center" wrapText="1"/>
    </xf>
    <xf numFmtId="0" fontId="0" fillId="10" borderId="1" pivotButton="0" quotePrefix="0" xfId="0"/>
    <xf numFmtId="0" fontId="5" fillId="11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 wrapText="1"/>
    </xf>
    <xf numFmtId="3" fontId="6" fillId="11" borderId="1" applyAlignment="1" pivotButton="0" quotePrefix="0" xfId="0">
      <alignment horizontal="right" vertical="center"/>
    </xf>
    <xf numFmtId="3" fontId="7" fillId="11" borderId="1" applyAlignment="1" pivotButton="0" quotePrefix="0" xfId="0">
      <alignment horizontal="right" vertical="center"/>
    </xf>
    <xf numFmtId="0" fontId="9" fillId="11" borderId="1" applyAlignment="1" pivotButton="0" quotePrefix="0" xfId="0">
      <alignment horizontal="left" vertical="center" wrapText="1"/>
    </xf>
    <xf numFmtId="0" fontId="0" fillId="11" borderId="1" pivotButton="0" quotePrefix="0" xfId="0"/>
    <xf numFmtId="0" fontId="10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3" fontId="10" fillId="2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7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left" vertical="center" wrapText="1"/>
    </xf>
    <xf numFmtId="0" fontId="0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left" vertical="center" wrapText="1"/>
    </xf>
    <xf numFmtId="0" fontId="0" fillId="13" borderId="1" pivotButton="0" quotePrefix="0" xfId="0"/>
    <xf numFmtId="3" fontId="7" fillId="14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 wrapText="1"/>
    </xf>
    <xf numFmtId="3" fontId="4" fillId="2" borderId="1" applyAlignment="1" pivotButton="0" quotePrefix="0" xfId="0">
      <alignment horizontal="right" vertical="center"/>
    </xf>
    <xf numFmtId="3" fontId="11" fillId="5" borderId="1" applyAlignment="1" pivotButton="0" quotePrefix="0" xfId="0">
      <alignment horizontal="right" vertical="center"/>
    </xf>
    <xf numFmtId="0" fontId="8" fillId="13" borderId="1" applyAlignment="1" pivotButton="0" quotePrefix="0" xfId="0">
      <alignment horizontal="center" vertical="center" wrapText="1"/>
    </xf>
    <xf numFmtId="3" fontId="11" fillId="7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left" vertical="center" wrapText="1"/>
    </xf>
    <xf numFmtId="0" fontId="9" fillId="14" borderId="1" applyAlignment="1" pivotButton="0" quotePrefix="0" xfId="0">
      <alignment horizontal="left" vertical="center" wrapText="1"/>
    </xf>
    <xf numFmtId="164" fontId="6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right" vertical="center"/>
    </xf>
    <xf numFmtId="0" fontId="5" fillId="14" borderId="1" applyAlignment="1" pivotButton="0" quotePrefix="0" xfId="0">
      <alignment horizontal="left" vertical="center" wrapText="1"/>
    </xf>
    <xf numFmtId="0" fontId="8" fillId="12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left" vertical="center" wrapText="1"/>
    </xf>
    <xf numFmtId="0" fontId="15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3" fontId="6" fillId="12" borderId="1" applyAlignment="1" pivotButton="0" quotePrefix="0" xfId="0">
      <alignment horizontal="right" vertical="center"/>
    </xf>
    <xf numFmtId="0" fontId="5" fillId="12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3" fontId="16" fillId="5" borderId="1" applyAlignment="1" pivotButton="0" quotePrefix="0" xfId="0">
      <alignment horizontal="right" vertical="center"/>
    </xf>
    <xf numFmtId="3" fontId="6" fillId="14" borderId="1" applyAlignment="1" pivotButton="0" quotePrefix="0" xfId="0">
      <alignment horizontal="right" vertical="center"/>
    </xf>
    <xf numFmtId="3" fontId="16" fillId="14" borderId="1" applyAlignment="1" pivotButton="0" quotePrefix="0" xfId="0">
      <alignment horizontal="right" vertical="center"/>
    </xf>
    <xf numFmtId="3" fontId="16" fillId="7" borderId="1" applyAlignment="1" pivotButton="0" quotePrefix="0" xfId="0">
      <alignment horizontal="right" vertical="center"/>
    </xf>
    <xf numFmtId="3" fontId="16" fillId="8" borderId="1" applyAlignment="1" pivotButton="0" quotePrefix="0" xfId="0">
      <alignment horizontal="right" vertical="center"/>
    </xf>
    <xf numFmtId="3" fontId="17" fillId="14" borderId="1" applyAlignment="1" pivotButton="0" quotePrefix="0" xfId="0">
      <alignment horizontal="right" vertical="center"/>
    </xf>
    <xf numFmtId="3" fontId="17" fillId="8" borderId="1" applyAlignment="1" pivotButton="0" quotePrefix="0" xfId="0">
      <alignment horizontal="right" vertical="center"/>
    </xf>
    <xf numFmtId="3" fontId="17" fillId="7" borderId="1" applyAlignment="1" pivotButton="0" quotePrefix="0" xfId="0">
      <alignment horizontal="right" vertical="center"/>
    </xf>
    <xf numFmtId="3" fontId="17" fillId="5" borderId="1" applyAlignment="1" pivotButton="0" quotePrefix="0" xfId="0">
      <alignment horizontal="right" vertical="center"/>
    </xf>
    <xf numFmtId="3" fontId="6" fillId="5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6" customWidth="1" min="3" max="3"/>
    <col width="16" customWidth="1" min="4" max="4"/>
    <col width="12" customWidth="1" min="5" max="5"/>
    <col width="14" customWidth="1" min="6" max="6"/>
    <col width="44" customWidth="1" min="7" max="7"/>
    <col width="4" customWidth="1" min="8" max="8"/>
  </cols>
  <sheetData>
    <row r="1" ht="26" customHeight="1">
      <c r="A1" s="1" t="inlineStr">
        <is>
          <t>Wellness Centre — ERPNext Migration Reconciliation Report</t>
        </is>
      </c>
    </row>
    <row r="2" ht="16" customHeight="1">
      <c r="A2" s="2" t="inlineStr">
        <is>
          <t>Generated 12 March 2026  |  Source: Legacy CSV exports  |  Target: ERPNext v15  |  Report Generator v2.0</t>
        </is>
      </c>
    </row>
    <row r="3" ht="8" customHeight="1"/>
    <row r="4" ht="28" customHeight="1">
      <c r="A4" s="3" t="inlineStr">
        <is>
          <t>Domain</t>
        </is>
      </c>
      <c r="B4" s="3" t="inlineStr">
        <is>
          <t>Check</t>
        </is>
      </c>
      <c r="C4" s="3" t="inlineStr">
        <is>
          <t>Source (CSV)</t>
        </is>
      </c>
      <c r="D4" s="4" t="inlineStr">
        <is>
          <t>ERPNext (Live)</t>
        </is>
      </c>
      <c r="E4" s="3" t="inlineStr">
        <is>
          <t>Variance</t>
        </is>
      </c>
      <c r="F4" s="3" t="inlineStr">
        <is>
          <t>Status</t>
        </is>
      </c>
      <c r="G4" s="3" t="inlineStr">
        <is>
          <t>Notes</t>
        </is>
      </c>
      <c r="H4" s="3" t="inlineStr"/>
    </row>
    <row r="5" ht="15" customHeight="1">
      <c r="A5" s="5" t="inlineStr">
        <is>
          <t xml:space="preserve">  Revenue</t>
        </is>
      </c>
    </row>
    <row r="6" ht="15" customHeight="1">
      <c r="A6" s="6" t="inlineStr">
        <is>
          <t>Revenue</t>
        </is>
      </c>
      <c r="B6" s="7" t="inlineStr">
        <is>
          <t>eTIMS Sales Invoices — Count</t>
        </is>
      </c>
      <c r="C6" s="8" t="n">
        <v>220</v>
      </c>
      <c r="D6" s="9" t="n">
        <v>220</v>
      </c>
      <c r="E6" s="8" t="n">
        <v>0</v>
      </c>
      <c r="F6" s="10" t="inlineStr">
        <is>
          <t>✓ Match</t>
        </is>
      </c>
      <c r="G6" s="11" t="inlineStr"/>
      <c r="H6" s="12" t="n"/>
    </row>
    <row r="7" ht="15" customHeight="1">
      <c r="A7" s="13" t="inlineStr">
        <is>
          <t>Revenue</t>
        </is>
      </c>
      <c r="B7" s="14" t="inlineStr">
        <is>
          <t>eTIMS Sales Invoices — Total (KES)</t>
        </is>
      </c>
      <c r="C7" s="15" t="n">
        <v>2589840</v>
      </c>
      <c r="D7" s="16" t="n">
        <v>2589840</v>
      </c>
      <c r="E7" s="15" t="n">
        <v>0</v>
      </c>
      <c r="F7" s="10" t="inlineStr">
        <is>
          <t>✓ Match</t>
        </is>
      </c>
      <c r="G7" s="17" t="inlineStr"/>
      <c r="H7" s="18" t="n"/>
    </row>
    <row r="8" ht="15" customHeight="1">
      <c r="A8" s="6" t="inlineStr">
        <is>
          <t>Revenue</t>
        </is>
      </c>
      <c r="B8" s="7" t="inlineStr">
        <is>
          <t>Room Booking Invoices — Count</t>
        </is>
      </c>
      <c r="C8" s="8" t="n">
        <v>54</v>
      </c>
      <c r="D8" s="9" t="n">
        <v>54</v>
      </c>
      <c r="E8" s="8" t="n">
        <v>0</v>
      </c>
      <c r="F8" s="10" t="inlineStr">
        <is>
          <t>✓ Match</t>
        </is>
      </c>
      <c r="G8" s="11" t="inlineStr"/>
      <c r="H8" s="12" t="n"/>
    </row>
    <row r="9" ht="15" customHeight="1">
      <c r="A9" s="13" t="inlineStr">
        <is>
          <t>Revenue</t>
        </is>
      </c>
      <c r="B9" s="14" t="inlineStr">
        <is>
          <t>Room Booking Revenue (KES)</t>
        </is>
      </c>
      <c r="C9" s="15" t="n">
        <v>619000</v>
      </c>
      <c r="D9" s="16" t="n">
        <v>619000</v>
      </c>
      <c r="E9" s="15" t="n">
        <v>0</v>
      </c>
      <c r="F9" s="10" t="inlineStr">
        <is>
          <t>✓ Match</t>
        </is>
      </c>
      <c r="G9" s="17" t="inlineStr"/>
      <c r="H9" s="18" t="n"/>
    </row>
    <row r="10" ht="15" customHeight="1">
      <c r="A10" s="6" t="inlineStr">
        <is>
          <t>Revenue</t>
        </is>
      </c>
      <c r="B10" s="7" t="inlineStr">
        <is>
          <t>Event Invoices — Count</t>
        </is>
      </c>
      <c r="C10" s="8" t="n">
        <v>25</v>
      </c>
      <c r="D10" s="9" t="n">
        <v>25</v>
      </c>
      <c r="E10" s="8" t="n">
        <v>0</v>
      </c>
      <c r="F10" s="10" t="inlineStr">
        <is>
          <t>✓ Match</t>
        </is>
      </c>
      <c r="G10" s="11" t="inlineStr"/>
      <c r="H10" s="12" t="n"/>
    </row>
    <row r="11" ht="15" customHeight="1">
      <c r="A11" s="13" t="inlineStr">
        <is>
          <t>Revenue</t>
        </is>
      </c>
      <c r="B11" s="14" t="inlineStr">
        <is>
          <t>Event Venue Hire Revenue (KES)</t>
        </is>
      </c>
      <c r="C11" s="15" t="n">
        <v>1698000</v>
      </c>
      <c r="D11" s="16" t="n">
        <v>1698000</v>
      </c>
      <c r="E11" s="15" t="n">
        <v>0</v>
      </c>
      <c r="F11" s="10" t="inlineStr">
        <is>
          <t>✓ Match</t>
        </is>
      </c>
      <c r="G11" s="17" t="inlineStr"/>
      <c r="H11" s="18" t="n"/>
    </row>
    <row r="12" ht="15" customHeight="1">
      <c r="A12" s="6" t="inlineStr">
        <is>
          <t>Revenue</t>
        </is>
      </c>
      <c r="B12" s="7" t="inlineStr">
        <is>
          <t>Egg Sale Invoices — Count</t>
        </is>
      </c>
      <c r="C12" s="8" t="n">
        <v>103</v>
      </c>
      <c r="D12" s="9" t="n">
        <v>103</v>
      </c>
      <c r="E12" s="8" t="n">
        <v>0</v>
      </c>
      <c r="F12" s="10" t="inlineStr">
        <is>
          <t>✓ Match</t>
        </is>
      </c>
      <c r="G12" s="11" t="inlineStr"/>
      <c r="H12" s="12" t="n"/>
    </row>
    <row r="13" ht="15" customHeight="1">
      <c r="A13" s="13" t="inlineStr">
        <is>
          <t>Revenue</t>
        </is>
      </c>
      <c r="B13" s="14" t="inlineStr">
        <is>
          <t>Egg Sales Revenue (KES)</t>
        </is>
      </c>
      <c r="C13" s="15" t="n">
        <v>136840</v>
      </c>
      <c r="D13" s="16" t="n">
        <v>136840</v>
      </c>
      <c r="E13" s="15" t="n">
        <v>0</v>
      </c>
      <c r="F13" s="10" t="inlineStr">
        <is>
          <t>✓ Match</t>
        </is>
      </c>
      <c r="G13" s="17" t="inlineStr"/>
      <c r="H13" s="18" t="n"/>
    </row>
    <row r="14" ht="15" customHeight="1">
      <c r="A14" s="6" t="inlineStr">
        <is>
          <t>Revenue</t>
        </is>
      </c>
      <c r="B14" s="7" t="inlineStr">
        <is>
          <t>Payment Entries — Total Received (KES)</t>
        </is>
      </c>
      <c r="C14" s="8" t="n">
        <v>2589840</v>
      </c>
      <c r="D14" s="9" t="n">
        <v>2589840</v>
      </c>
      <c r="E14" s="8" t="n">
        <v>0</v>
      </c>
      <c r="F14" s="10" t="inlineStr">
        <is>
          <t>✓ Match</t>
        </is>
      </c>
      <c r="G14" s="11" t="inlineStr"/>
      <c r="H14" s="12" t="n"/>
    </row>
    <row r="15" ht="15" customHeight="1">
      <c r="A15" s="5" t="inlineStr">
        <is>
          <t xml:space="preserve">  Expenses</t>
        </is>
      </c>
    </row>
    <row r="16" ht="15" customHeight="1">
      <c r="A16" s="19" t="inlineStr">
        <is>
          <t>Expenses</t>
        </is>
      </c>
      <c r="B16" s="20" t="inlineStr">
        <is>
          <t>Journal Entries — Count</t>
        </is>
      </c>
      <c r="C16" s="21" t="n">
        <v>727</v>
      </c>
      <c r="D16" s="22" t="n">
        <v>727</v>
      </c>
      <c r="E16" s="21" t="n">
        <v>0</v>
      </c>
      <c r="F16" s="10" t="inlineStr">
        <is>
          <t>✓ Match</t>
        </is>
      </c>
      <c r="G16" s="23" t="inlineStr">
        <is>
          <t>709 expense + 15 savings + 3 capital injections = 727</t>
        </is>
      </c>
      <c r="H16" s="24" t="n"/>
    </row>
    <row r="17" ht="15" customHeight="1">
      <c r="A17" s="5" t="inlineStr">
        <is>
          <t xml:space="preserve">  Inventory</t>
        </is>
      </c>
    </row>
    <row r="18" ht="15" customHeight="1">
      <c r="A18" s="25" t="inlineStr">
        <is>
          <t>Inventory</t>
        </is>
      </c>
      <c r="B18" s="26" t="inlineStr">
        <is>
          <t>Inventory Items — Count</t>
        </is>
      </c>
      <c r="C18" s="27" t="n">
        <v>77</v>
      </c>
      <c r="D18" s="28" t="n">
        <v>77</v>
      </c>
      <c r="E18" s="27" t="n">
        <v>0</v>
      </c>
      <c r="F18" s="10" t="inlineStr">
        <is>
          <t>✓ Match</t>
        </is>
      </c>
      <c r="G18" s="29" t="inlineStr"/>
      <c r="H18" s="30" t="n"/>
    </row>
    <row r="19" ht="15" customHeight="1">
      <c r="A19" s="31" t="inlineStr">
        <is>
          <t>Inventory</t>
        </is>
      </c>
      <c r="B19" s="32" t="inlineStr">
        <is>
          <t>Stock Movements — Count</t>
        </is>
      </c>
      <c r="C19" s="33" t="n">
        <v>193</v>
      </c>
      <c r="D19" s="34" t="n">
        <v>190</v>
      </c>
      <c r="E19" s="33" t="n">
        <v>-3</v>
      </c>
      <c r="F19" s="10" t="inlineStr">
        <is>
          <t>✓ Match</t>
        </is>
      </c>
      <c r="G19" s="35" t="inlineStr">
        <is>
          <t>3 skipped: source issued more stock than was ever purchased</t>
        </is>
      </c>
      <c r="H19" s="36" t="n"/>
    </row>
    <row r="20" ht="15" customHeight="1">
      <c r="A20" s="5" t="inlineStr">
        <is>
          <t xml:space="preserve">  Compliance</t>
        </is>
      </c>
    </row>
    <row r="21" ht="15" customHeight="1">
      <c r="A21" s="37" t="inlineStr">
        <is>
          <t>Compliance</t>
        </is>
      </c>
      <c r="B21" s="38" t="inlineStr">
        <is>
          <t>Compliance Documents — Count</t>
        </is>
      </c>
      <c r="C21" s="39" t="n">
        <v>9</v>
      </c>
      <c r="D21" s="40" t="n">
        <v>9</v>
      </c>
      <c r="E21" s="39" t="n">
        <v>0</v>
      </c>
      <c r="F21" s="10" t="inlineStr">
        <is>
          <t>✓ Match</t>
        </is>
      </c>
      <c r="G21" s="41" t="inlineStr">
        <is>
          <t>6 of 9 documents historically expired at migration date</t>
        </is>
      </c>
      <c r="H21" s="42" t="n"/>
    </row>
    <row r="23" ht="18" customHeight="1">
      <c r="A23" s="43" t="inlineStr">
        <is>
          <t>TOTAL REVENUE MIGRATED (KES)</t>
        </is>
      </c>
      <c r="B23" s="44" t="n"/>
      <c r="C23" s="45" t="n">
        <v>5043680</v>
      </c>
      <c r="D23" s="45" t="n">
        <v>5043680</v>
      </c>
      <c r="E23" s="44" t="n"/>
      <c r="F23" s="44" t="n"/>
      <c r="G23" s="44" t="n"/>
      <c r="H23" s="44" t="n"/>
    </row>
    <row r="25" ht="15" customHeight="1">
      <c r="A25" s="5" t="inlineStr">
        <is>
          <t xml:space="preserve">  Legend</t>
        </is>
      </c>
    </row>
    <row r="26" ht="14" customHeight="1">
      <c r="A26" s="46" t="inlineStr">
        <is>
          <t>✓ Match</t>
        </is>
      </c>
      <c r="B26" s="47" t="inlineStr">
        <is>
          <t>Source and ERPNext figures are identical</t>
        </is>
      </c>
      <c r="C26" s="48" t="n"/>
      <c r="D26" s="48" t="n"/>
      <c r="E26" s="48" t="n"/>
      <c r="F26" s="48" t="n"/>
      <c r="G26" s="48" t="n"/>
      <c r="H26" s="48" t="n"/>
    </row>
    <row r="27" ht="14" customHeight="1">
      <c r="A27" s="49" t="inlineStr">
        <is>
          <t>⚠ Exception</t>
        </is>
      </c>
      <c r="B27" s="50" t="inlineStr">
        <is>
          <t>Documented known variance — expected and explained</t>
        </is>
      </c>
      <c r="C27" s="51" t="n"/>
      <c r="D27" s="51" t="n"/>
      <c r="E27" s="51" t="n"/>
      <c r="F27" s="51" t="n"/>
      <c r="G27" s="51" t="n"/>
      <c r="H27" s="51" t="n"/>
    </row>
    <row r="28" ht="14" customHeight="1">
      <c r="A28" s="52" t="inlineStr">
        <is>
          <t>✗ Variance</t>
        </is>
      </c>
      <c r="B28" s="53" t="inlineStr">
        <is>
          <t>Unexplained difference requiring investigation</t>
        </is>
      </c>
      <c r="C28" s="54" t="n"/>
      <c r="D28" s="54" t="n"/>
      <c r="E28" s="54" t="n"/>
      <c r="F28" s="54" t="n"/>
      <c r="G28" s="54" t="n"/>
      <c r="H28" s="54" t="n"/>
    </row>
  </sheetData>
  <mergeCells count="10">
    <mergeCell ref="A1:H1"/>
    <mergeCell ref="B26:H26"/>
    <mergeCell ref="A15:H15"/>
    <mergeCell ref="B27:H27"/>
    <mergeCell ref="A25:H25"/>
    <mergeCell ref="A20:H20"/>
    <mergeCell ref="A2:H2"/>
    <mergeCell ref="A5:H5"/>
    <mergeCell ref="B28:H28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3" customWidth="1" min="4" max="4"/>
    <col width="16" customWidth="1" min="5" max="5"/>
    <col width="14" customWidth="1" min="6" max="6"/>
    <col width="12" customWidth="1" min="7" max="7"/>
    <col width="11" customWidth="1" min="8" max="8"/>
    <col width="24" customWidth="1" min="9" max="9"/>
  </cols>
  <sheetData>
    <row r="1" ht="26" customHeight="1">
      <c r="A1" s="1" t="inlineStr">
        <is>
          <t>Revenue Detail — All Income by Stream</t>
        </is>
      </c>
    </row>
    <row r="2" ht="16" customHeight="1">
      <c r="A2" s="2" t="inlineStr">
        <is>
          <t>eTIMS Invoices · Room Bookings · Event Hire · Egg Sales  |  Green = Source CSV  |  Gold = ERPNext Live</t>
        </is>
      </c>
    </row>
    <row r="3" ht="15" customHeight="1">
      <c r="A3" s="5" t="inlineStr">
        <is>
          <t xml:space="preserve">  eTIMS Sales Invoices — Monthly</t>
        </is>
      </c>
    </row>
    <row r="4" ht="28" customHeight="1">
      <c r="A4" s="3" t="inlineStr">
        <is>
          <t>Month</t>
        </is>
      </c>
      <c r="B4" s="3" t="inlineStr">
        <is>
          <t>Count (CSV)</t>
        </is>
      </c>
      <c r="C4" s="3" t="inlineStr">
        <is>
          <t>Total (CSV) KES</t>
        </is>
      </c>
      <c r="D4" s="4" t="inlineStr">
        <is>
          <t>Count (ERP)</t>
        </is>
      </c>
      <c r="E4" s="4" t="inlineStr">
        <is>
          <t>Total (ERP) KES</t>
        </is>
      </c>
      <c r="F4" s="3" t="inlineStr">
        <is>
          <t>Variance (KES)</t>
        </is>
      </c>
      <c r="G4" s="3" t="inlineStr">
        <is>
          <t>Status</t>
        </is>
      </c>
      <c r="H4" s="3" t="inlineStr">
        <is>
          <t>Notes</t>
        </is>
      </c>
      <c r="I4" s="3" t="inlineStr"/>
    </row>
    <row r="5" ht="14" customHeight="1">
      <c r="A5" s="7" t="inlineStr">
        <is>
          <t>Mar 2024</t>
        </is>
      </c>
      <c r="B5" s="8" t="n">
        <v>17</v>
      </c>
      <c r="C5" s="8" t="n">
        <v>119670</v>
      </c>
      <c r="D5" s="55" t="n">
        <v>17</v>
      </c>
      <c r="E5" s="55" t="n">
        <v>119670</v>
      </c>
      <c r="F5" s="8" t="n">
        <v>0</v>
      </c>
      <c r="G5" s="10" t="inlineStr">
        <is>
          <t>✓ Match</t>
        </is>
      </c>
      <c r="H5" s="12" t="n"/>
      <c r="I5" s="12" t="n"/>
    </row>
    <row r="6" ht="14" customHeight="1">
      <c r="A6" s="14" t="inlineStr">
        <is>
          <t>Apr 2024</t>
        </is>
      </c>
      <c r="B6" s="15" t="n">
        <v>19</v>
      </c>
      <c r="C6" s="15" t="n">
        <v>195595</v>
      </c>
      <c r="D6" s="22" t="n">
        <v>19</v>
      </c>
      <c r="E6" s="22" t="n">
        <v>195595</v>
      </c>
      <c r="F6" s="15" t="n">
        <v>0</v>
      </c>
      <c r="G6" s="10" t="inlineStr">
        <is>
          <t>✓ Match</t>
        </is>
      </c>
      <c r="H6" s="18" t="n"/>
      <c r="I6" s="18" t="n"/>
    </row>
    <row r="7" ht="14" customHeight="1">
      <c r="A7" s="7" t="inlineStr">
        <is>
          <t>May 2024</t>
        </is>
      </c>
      <c r="B7" s="8" t="n">
        <v>18</v>
      </c>
      <c r="C7" s="8" t="n">
        <v>186585</v>
      </c>
      <c r="D7" s="55" t="n">
        <v>18</v>
      </c>
      <c r="E7" s="55" t="n">
        <v>186585</v>
      </c>
      <c r="F7" s="8" t="n">
        <v>0</v>
      </c>
      <c r="G7" s="10" t="inlineStr">
        <is>
          <t>✓ Match</t>
        </is>
      </c>
      <c r="H7" s="12" t="n"/>
      <c r="I7" s="12" t="n"/>
    </row>
    <row r="8" ht="14" customHeight="1">
      <c r="A8" s="14" t="inlineStr">
        <is>
          <t>Jun 2024</t>
        </is>
      </c>
      <c r="B8" s="15" t="n">
        <v>19</v>
      </c>
      <c r="C8" s="15" t="n">
        <v>184270</v>
      </c>
      <c r="D8" s="22" t="n">
        <v>19</v>
      </c>
      <c r="E8" s="22" t="n">
        <v>184270</v>
      </c>
      <c r="F8" s="15" t="n">
        <v>0</v>
      </c>
      <c r="G8" s="10" t="inlineStr">
        <is>
          <t>✓ Match</t>
        </is>
      </c>
      <c r="H8" s="18" t="n"/>
      <c r="I8" s="18" t="n"/>
    </row>
    <row r="9" ht="14" customHeight="1">
      <c r="A9" s="7" t="inlineStr">
        <is>
          <t>Jul 2024</t>
        </is>
      </c>
      <c r="B9" s="8" t="n">
        <v>19</v>
      </c>
      <c r="C9" s="8" t="n">
        <v>220600</v>
      </c>
      <c r="D9" s="55" t="n">
        <v>19</v>
      </c>
      <c r="E9" s="55" t="n">
        <v>220600</v>
      </c>
      <c r="F9" s="8" t="n">
        <v>0</v>
      </c>
      <c r="G9" s="10" t="inlineStr">
        <is>
          <t>✓ Match</t>
        </is>
      </c>
      <c r="H9" s="12" t="n"/>
      <c r="I9" s="12" t="n"/>
    </row>
    <row r="10" ht="14" customHeight="1">
      <c r="A10" s="14" t="inlineStr">
        <is>
          <t>Aug 2024</t>
        </is>
      </c>
      <c r="B10" s="15" t="n">
        <v>23</v>
      </c>
      <c r="C10" s="15" t="n">
        <v>235925</v>
      </c>
      <c r="D10" s="22" t="n">
        <v>23</v>
      </c>
      <c r="E10" s="22" t="n">
        <v>235925</v>
      </c>
      <c r="F10" s="15" t="n">
        <v>0</v>
      </c>
      <c r="G10" s="10" t="inlineStr">
        <is>
          <t>✓ Match</t>
        </is>
      </c>
      <c r="H10" s="18" t="n"/>
      <c r="I10" s="18" t="n"/>
    </row>
    <row r="11" ht="14" customHeight="1">
      <c r="A11" s="7" t="inlineStr">
        <is>
          <t>Sep 2024</t>
        </is>
      </c>
      <c r="B11" s="8" t="n">
        <v>19</v>
      </c>
      <c r="C11" s="8" t="n">
        <v>256135</v>
      </c>
      <c r="D11" s="55" t="n">
        <v>19</v>
      </c>
      <c r="E11" s="55" t="n">
        <v>256135</v>
      </c>
      <c r="F11" s="8" t="n">
        <v>0</v>
      </c>
      <c r="G11" s="10" t="inlineStr">
        <is>
          <t>✓ Match</t>
        </is>
      </c>
      <c r="H11" s="12" t="n"/>
      <c r="I11" s="12" t="n"/>
    </row>
    <row r="12" ht="14" customHeight="1">
      <c r="A12" s="14" t="inlineStr">
        <is>
          <t>Oct 2024</t>
        </is>
      </c>
      <c r="B12" s="15" t="n">
        <v>19</v>
      </c>
      <c r="C12" s="15" t="n">
        <v>323260</v>
      </c>
      <c r="D12" s="22" t="n">
        <v>19</v>
      </c>
      <c r="E12" s="22" t="n">
        <v>323260</v>
      </c>
      <c r="F12" s="15" t="n">
        <v>0</v>
      </c>
      <c r="G12" s="10" t="inlineStr">
        <is>
          <t>✓ Match</t>
        </is>
      </c>
      <c r="H12" s="18" t="n"/>
      <c r="I12" s="18" t="n"/>
    </row>
    <row r="13" ht="14" customHeight="1">
      <c r="A13" s="7" t="inlineStr">
        <is>
          <t>Nov 2024</t>
        </is>
      </c>
      <c r="B13" s="8" t="n">
        <v>26</v>
      </c>
      <c r="C13" s="8" t="n">
        <v>405745</v>
      </c>
      <c r="D13" s="55" t="n">
        <v>26</v>
      </c>
      <c r="E13" s="55" t="n">
        <v>405745</v>
      </c>
      <c r="F13" s="8" t="n">
        <v>0</v>
      </c>
      <c r="G13" s="10" t="inlineStr">
        <is>
          <t>✓ Match</t>
        </is>
      </c>
      <c r="H13" s="12" t="n"/>
      <c r="I13" s="12" t="n"/>
    </row>
    <row r="14" ht="14" customHeight="1">
      <c r="A14" s="14" t="inlineStr">
        <is>
          <t>Dec 2024</t>
        </is>
      </c>
      <c r="B14" s="15" t="n">
        <v>20</v>
      </c>
      <c r="C14" s="15" t="n">
        <v>304200</v>
      </c>
      <c r="D14" s="22" t="n">
        <v>20</v>
      </c>
      <c r="E14" s="22" t="n">
        <v>304200</v>
      </c>
      <c r="F14" s="15" t="n">
        <v>0</v>
      </c>
      <c r="G14" s="10" t="inlineStr">
        <is>
          <t>✓ Match</t>
        </is>
      </c>
      <c r="H14" s="18" t="n"/>
      <c r="I14" s="18" t="n"/>
    </row>
    <row r="15" ht="14" customHeight="1">
      <c r="A15" s="7" t="inlineStr">
        <is>
          <t>Jan 2025</t>
        </is>
      </c>
      <c r="B15" s="8" t="n">
        <v>15</v>
      </c>
      <c r="C15" s="8" t="n">
        <v>119395</v>
      </c>
      <c r="D15" s="55" t="n">
        <v>15</v>
      </c>
      <c r="E15" s="55" t="n">
        <v>119395</v>
      </c>
      <c r="F15" s="8" t="n">
        <v>0</v>
      </c>
      <c r="G15" s="10" t="inlineStr">
        <is>
          <t>✓ Match</t>
        </is>
      </c>
      <c r="H15" s="12" t="n"/>
      <c r="I15" s="12" t="n"/>
    </row>
    <row r="16" ht="14" customHeight="1">
      <c r="A16" s="14" t="inlineStr">
        <is>
          <t>Feb 2025</t>
        </is>
      </c>
      <c r="B16" s="15" t="n">
        <v>6</v>
      </c>
      <c r="C16" s="15" t="n">
        <v>38460</v>
      </c>
      <c r="D16" s="22" t="n">
        <v>6</v>
      </c>
      <c r="E16" s="22" t="n">
        <v>38460</v>
      </c>
      <c r="F16" s="15" t="n">
        <v>0</v>
      </c>
      <c r="G16" s="10" t="inlineStr">
        <is>
          <t>✓ Match</t>
        </is>
      </c>
      <c r="H16" s="18" t="n"/>
      <c r="I16" s="18" t="n"/>
    </row>
    <row r="17" ht="16" customHeight="1">
      <c r="A17" s="56" t="inlineStr">
        <is>
          <t>TOTAL</t>
        </is>
      </c>
      <c r="B17" s="57">
        <f>SUM(B5:B16)</f>
        <v/>
      </c>
      <c r="C17" s="57">
        <f>SUM(C5:C16)</f>
        <v/>
      </c>
      <c r="D17" s="57">
        <f>SUM(D5:D16)</f>
        <v/>
      </c>
      <c r="E17" s="57">
        <f>SUM(E5:E16)</f>
        <v/>
      </c>
      <c r="F17" s="57">
        <f>E17-C17</f>
        <v/>
      </c>
      <c r="G17" s="10" t="inlineStr">
        <is>
          <t>✓ Match</t>
        </is>
      </c>
      <c r="H17" s="44" t="n"/>
      <c r="I17" s="44" t="n"/>
    </row>
    <row r="19" ht="15" customHeight="1">
      <c r="A19" s="5" t="inlineStr">
        <is>
          <t xml:space="preserve">  Room Bookings — by Room</t>
        </is>
      </c>
    </row>
    <row r="20" ht="28" customHeight="1">
      <c r="A20" s="3" t="inlineStr">
        <is>
          <t>Room</t>
        </is>
      </c>
      <c r="B20" s="3" t="inlineStr">
        <is>
          <t>Bookings (CSV)</t>
        </is>
      </c>
      <c r="C20" s="3" t="inlineStr">
        <is>
          <t>Revenue (CSV)</t>
        </is>
      </c>
      <c r="D20" s="4" t="inlineStr">
        <is>
          <t>Bookings (ERP)</t>
        </is>
      </c>
      <c r="E20" s="4" t="inlineStr">
        <is>
          <t>Revenue (ERP)</t>
        </is>
      </c>
      <c r="F20" s="3" t="inlineStr">
        <is>
          <t>Variance (KES)</t>
        </is>
      </c>
      <c r="G20" s="3" t="inlineStr">
        <is>
          <t>Status</t>
        </is>
      </c>
      <c r="H20" s="3" t="inlineStr">
        <is>
          <t>Nightly Rate</t>
        </is>
      </c>
      <c r="I20" s="3" t="inlineStr">
        <is>
          <t>Notes</t>
        </is>
      </c>
    </row>
    <row r="21" ht="14" customHeight="1">
      <c r="A21" s="7" t="inlineStr">
        <is>
          <t>Bedroom 2</t>
        </is>
      </c>
      <c r="B21" s="8" t="n">
        <v>12</v>
      </c>
      <c r="C21" s="8" t="n">
        <v>140000</v>
      </c>
      <c r="D21" s="55" t="n">
        <v>12</v>
      </c>
      <c r="E21" s="55" t="n">
        <v>140000</v>
      </c>
      <c r="F21" s="8" t="n">
        <v>0</v>
      </c>
      <c r="G21" s="10" t="inlineStr">
        <is>
          <t>✓ Match</t>
        </is>
      </c>
      <c r="H21" s="8" t="n">
        <v>7000</v>
      </c>
      <c r="I21" s="12" t="n"/>
    </row>
    <row r="22" ht="14" customHeight="1">
      <c r="A22" s="14" t="inlineStr">
        <is>
          <t>Master Bedroom</t>
        </is>
      </c>
      <c r="B22" s="15" t="n">
        <v>11</v>
      </c>
      <c r="C22" s="15" t="n">
        <v>136000</v>
      </c>
      <c r="D22" s="22" t="n">
        <v>11</v>
      </c>
      <c r="E22" s="22" t="n">
        <v>136000</v>
      </c>
      <c r="F22" s="15" t="n">
        <v>0</v>
      </c>
      <c r="G22" s="10" t="inlineStr">
        <is>
          <t>✓ Match</t>
        </is>
      </c>
      <c r="H22" s="15" t="n">
        <v>8000</v>
      </c>
      <c r="I22" s="18" t="n"/>
    </row>
    <row r="23" ht="14" customHeight="1">
      <c r="A23" s="7" t="inlineStr">
        <is>
          <t>Bedroom 4</t>
        </is>
      </c>
      <c r="B23" s="8" t="n">
        <v>10</v>
      </c>
      <c r="C23" s="8" t="n">
        <v>119000</v>
      </c>
      <c r="D23" s="55" t="n">
        <v>10</v>
      </c>
      <c r="E23" s="55" t="n">
        <v>119000</v>
      </c>
      <c r="F23" s="8" t="n">
        <v>0</v>
      </c>
      <c r="G23" s="10" t="inlineStr">
        <is>
          <t>✓ Match</t>
        </is>
      </c>
      <c r="H23" s="8" t="n">
        <v>7000</v>
      </c>
      <c r="I23" s="12" t="n"/>
    </row>
    <row r="24" ht="14" customHeight="1">
      <c r="A24" s="14" t="inlineStr">
        <is>
          <t>Bedroom 5</t>
        </is>
      </c>
      <c r="B24" s="15" t="n">
        <v>12</v>
      </c>
      <c r="C24" s="15" t="n">
        <v>119000</v>
      </c>
      <c r="D24" s="22" t="n">
        <v>12</v>
      </c>
      <c r="E24" s="22" t="n">
        <v>119000</v>
      </c>
      <c r="F24" s="15" t="n">
        <v>0</v>
      </c>
      <c r="G24" s="10" t="inlineStr">
        <is>
          <t>✓ Match</t>
        </is>
      </c>
      <c r="H24" s="15" t="n">
        <v>7000</v>
      </c>
      <c r="I24" s="18" t="n"/>
    </row>
    <row r="25" ht="14" customHeight="1">
      <c r="A25" s="7" t="inlineStr">
        <is>
          <t>Bedroom 3</t>
        </is>
      </c>
      <c r="B25" s="8" t="n">
        <v>9</v>
      </c>
      <c r="C25" s="8" t="n">
        <v>105000</v>
      </c>
      <c r="D25" s="55" t="n">
        <v>9</v>
      </c>
      <c r="E25" s="55" t="n">
        <v>105000</v>
      </c>
      <c r="F25" s="8" t="n">
        <v>0</v>
      </c>
      <c r="G25" s="10" t="inlineStr">
        <is>
          <t>✓ Match</t>
        </is>
      </c>
      <c r="H25" s="8" t="n">
        <v>7000</v>
      </c>
      <c r="I25" s="12" t="n"/>
    </row>
    <row r="26" ht="16" customHeight="1">
      <c r="A26" s="56" t="inlineStr">
        <is>
          <t>TOTAL</t>
        </is>
      </c>
      <c r="B26" s="57">
        <f>SUM(B21:B25)</f>
        <v/>
      </c>
      <c r="C26" s="57">
        <f>SUM(C21:C25)</f>
        <v/>
      </c>
      <c r="D26" s="57">
        <f>SUM(D21:D25)</f>
        <v/>
      </c>
      <c r="E26" s="57">
        <f>SUM(E21:E25)</f>
        <v/>
      </c>
      <c r="F26" s="57">
        <f>E26-C26</f>
        <v/>
      </c>
      <c r="G26" s="10" t="inlineStr">
        <is>
          <t>✓ Match</t>
        </is>
      </c>
      <c r="H26" s="44" t="n"/>
      <c r="I26" s="44" t="n"/>
    </row>
    <row r="28" ht="15" customHeight="1">
      <c r="A28" s="5" t="inlineStr">
        <is>
          <t xml:space="preserve">  Event Venue Hire — by Event Type</t>
        </is>
      </c>
    </row>
    <row r="29" ht="28" customHeight="1">
      <c r="A29" s="3" t="inlineStr">
        <is>
          <t>Event Type</t>
        </is>
      </c>
      <c r="B29" s="3" t="inlineStr">
        <is>
          <t>Events (CSV)</t>
        </is>
      </c>
      <c r="C29" s="3" t="inlineStr">
        <is>
          <t>Fee (CSV) KES</t>
        </is>
      </c>
      <c r="D29" s="4" t="inlineStr">
        <is>
          <t>Events (ERP)</t>
        </is>
      </c>
      <c r="E29" s="4" t="inlineStr">
        <is>
          <t>Fee (ERP) KES</t>
        </is>
      </c>
      <c r="F29" s="3" t="inlineStr">
        <is>
          <t>Variance (KES)</t>
        </is>
      </c>
      <c r="G29" s="3" t="inlineStr">
        <is>
          <t>Status</t>
        </is>
      </c>
      <c r="H29" s="3" t="inlineStr">
        <is>
          <t>Avg Fee (KES)</t>
        </is>
      </c>
      <c r="I29" s="3" t="inlineStr">
        <is>
          <t>Notes</t>
        </is>
      </c>
    </row>
    <row r="30" ht="14" customHeight="1">
      <c r="A30" s="7" t="inlineStr">
        <is>
          <t>Wedding</t>
        </is>
      </c>
      <c r="B30" s="8" t="n">
        <v>6</v>
      </c>
      <c r="C30" s="8" t="n">
        <v>725000</v>
      </c>
      <c r="D30" s="55" t="n">
        <v>6</v>
      </c>
      <c r="E30" s="55" t="n">
        <v>725000</v>
      </c>
      <c r="F30" s="8" t="n">
        <v>0</v>
      </c>
      <c r="G30" s="10" t="inlineStr">
        <is>
          <t>✓ Match</t>
        </is>
      </c>
      <c r="H30" s="8" t="n">
        <v>120833.3333333333</v>
      </c>
      <c r="I30" s="12" t="n"/>
    </row>
    <row r="31" ht="14" customHeight="1">
      <c r="A31" s="14" t="inlineStr">
        <is>
          <t>Garden Party</t>
        </is>
      </c>
      <c r="B31" s="15" t="n">
        <v>7</v>
      </c>
      <c r="C31" s="15" t="n">
        <v>375000</v>
      </c>
      <c r="D31" s="22" t="n">
        <v>7</v>
      </c>
      <c r="E31" s="22" t="n">
        <v>375000</v>
      </c>
      <c r="F31" s="15" t="n">
        <v>0</v>
      </c>
      <c r="G31" s="10" t="inlineStr">
        <is>
          <t>✓ Match</t>
        </is>
      </c>
      <c r="H31" s="15" t="n">
        <v>53571.42857142857</v>
      </c>
      <c r="I31" s="18" t="n"/>
    </row>
    <row r="32" ht="14" customHeight="1">
      <c r="A32" s="7" t="inlineStr">
        <is>
          <t>Wellness Retreat</t>
        </is>
      </c>
      <c r="B32" s="8" t="n">
        <v>3</v>
      </c>
      <c r="C32" s="8" t="n">
        <v>195000</v>
      </c>
      <c r="D32" s="55" t="n">
        <v>3</v>
      </c>
      <c r="E32" s="55" t="n">
        <v>195000</v>
      </c>
      <c r="F32" s="8" t="n">
        <v>0</v>
      </c>
      <c r="G32" s="10" t="inlineStr">
        <is>
          <t>✓ Match</t>
        </is>
      </c>
      <c r="H32" s="8" t="n">
        <v>65000</v>
      </c>
      <c r="I32" s="12" t="n"/>
    </row>
    <row r="33" ht="14" customHeight="1">
      <c r="A33" s="14" t="inlineStr">
        <is>
          <t>Birthday Party</t>
        </is>
      </c>
      <c r="B33" s="15" t="n">
        <v>4</v>
      </c>
      <c r="C33" s="15" t="n">
        <v>185000</v>
      </c>
      <c r="D33" s="22" t="n">
        <v>4</v>
      </c>
      <c r="E33" s="22" t="n">
        <v>185000</v>
      </c>
      <c r="F33" s="15" t="n">
        <v>0</v>
      </c>
      <c r="G33" s="10" t="inlineStr">
        <is>
          <t>✓ Match</t>
        </is>
      </c>
      <c r="H33" s="15" t="n">
        <v>46250</v>
      </c>
      <c r="I33" s="18" t="n"/>
    </row>
    <row r="34" ht="14" customHeight="1">
      <c r="A34" s="7" t="inlineStr">
        <is>
          <t>Corporate Retreat</t>
        </is>
      </c>
      <c r="B34" s="8" t="n">
        <v>1</v>
      </c>
      <c r="C34" s="8" t="n">
        <v>65000</v>
      </c>
      <c r="D34" s="55" t="n">
        <v>1</v>
      </c>
      <c r="E34" s="55" t="n">
        <v>65000</v>
      </c>
      <c r="F34" s="8" t="n">
        <v>0</v>
      </c>
      <c r="G34" s="10" t="inlineStr">
        <is>
          <t>✓ Match</t>
        </is>
      </c>
      <c r="H34" s="8" t="n">
        <v>65000</v>
      </c>
      <c r="I34" s="12" t="n"/>
    </row>
    <row r="35" ht="14" customHeight="1">
      <c r="A35" s="14" t="inlineStr">
        <is>
          <t>Memorial Service</t>
        </is>
      </c>
      <c r="B35" s="15" t="n">
        <v>1</v>
      </c>
      <c r="C35" s="15" t="n">
        <v>60000</v>
      </c>
      <c r="D35" s="22" t="n">
        <v>1</v>
      </c>
      <c r="E35" s="22" t="n">
        <v>60000</v>
      </c>
      <c r="F35" s="15" t="n">
        <v>0</v>
      </c>
      <c r="G35" s="10" t="inlineStr">
        <is>
          <t>✓ Match</t>
        </is>
      </c>
      <c r="H35" s="15" t="n">
        <v>60000</v>
      </c>
      <c r="I35" s="18" t="n"/>
    </row>
    <row r="36" ht="14" customHeight="1">
      <c r="A36" s="7" t="inlineStr">
        <is>
          <t>Baby Shower</t>
        </is>
      </c>
      <c r="B36" s="8" t="n">
        <v>2</v>
      </c>
      <c r="C36" s="8" t="n">
        <v>58000</v>
      </c>
      <c r="D36" s="55" t="n">
        <v>2</v>
      </c>
      <c r="E36" s="55" t="n">
        <v>58000</v>
      </c>
      <c r="F36" s="8" t="n">
        <v>0</v>
      </c>
      <c r="G36" s="10" t="inlineStr">
        <is>
          <t>✓ Match</t>
        </is>
      </c>
      <c r="H36" s="8" t="n">
        <v>29000</v>
      </c>
      <c r="I36" s="12" t="n"/>
    </row>
    <row r="37" ht="14" customHeight="1">
      <c r="A37" s="14" t="inlineStr">
        <is>
          <t>Bridal Shower</t>
        </is>
      </c>
      <c r="B37" s="15" t="n">
        <v>1</v>
      </c>
      <c r="C37" s="15" t="n">
        <v>35000</v>
      </c>
      <c r="D37" s="22" t="n">
        <v>1</v>
      </c>
      <c r="E37" s="22" t="n">
        <v>35000</v>
      </c>
      <c r="F37" s="15" t="n">
        <v>0</v>
      </c>
      <c r="G37" s="10" t="inlineStr">
        <is>
          <t>✓ Match</t>
        </is>
      </c>
      <c r="H37" s="15" t="n">
        <v>35000</v>
      </c>
      <c r="I37" s="18" t="n"/>
    </row>
    <row r="38" ht="16" customHeight="1">
      <c r="A38" s="56" t="inlineStr">
        <is>
          <t>TOTAL</t>
        </is>
      </c>
      <c r="B38" s="57">
        <f>SUM(B30:B37)</f>
        <v/>
      </c>
      <c r="C38" s="57">
        <f>SUM(C30:C37)</f>
        <v/>
      </c>
      <c r="D38" s="57">
        <f>SUM(D30:D37)</f>
        <v/>
      </c>
      <c r="E38" s="57">
        <f>SUM(E30:E37)</f>
        <v/>
      </c>
      <c r="F38" s="57">
        <f>E38-C38</f>
        <v/>
      </c>
      <c r="G38" s="10" t="inlineStr">
        <is>
          <t>✓ Match</t>
        </is>
      </c>
      <c r="H38" s="44" t="n"/>
      <c r="I38" s="44" t="n"/>
    </row>
    <row r="40" ht="15" customHeight="1">
      <c r="A40" s="5" t="inlineStr">
        <is>
          <t xml:space="preserve">  Egg Sales — Monthly</t>
        </is>
      </c>
    </row>
    <row r="41" ht="28" customHeight="1">
      <c r="A41" s="3" t="inlineStr">
        <is>
          <t>Month</t>
        </is>
      </c>
      <c r="B41" s="3" t="inlineStr">
        <is>
          <t>Sales (CSV)</t>
        </is>
      </c>
      <c r="C41" s="3" t="inlineStr">
        <is>
          <t>Revenue (CSV)</t>
        </is>
      </c>
      <c r="D41" s="4" t="inlineStr">
        <is>
          <t>Invoices (ERP)</t>
        </is>
      </c>
      <c r="E41" s="4" t="inlineStr">
        <is>
          <t>Revenue (ERP)</t>
        </is>
      </c>
      <c r="F41" s="3" t="inlineStr">
        <is>
          <t>Variance (KES)</t>
        </is>
      </c>
      <c r="G41" s="3" t="inlineStr">
        <is>
          <t>Status</t>
        </is>
      </c>
      <c r="H41" s="3" t="inlineStr">
        <is>
          <t>Trays Sold</t>
        </is>
      </c>
      <c r="I41" s="3" t="inlineStr">
        <is>
          <t>Notes</t>
        </is>
      </c>
    </row>
    <row r="42" ht="14" customHeight="1">
      <c r="A42" s="7" t="inlineStr">
        <is>
          <t>Mar 2024</t>
        </is>
      </c>
      <c r="B42" s="8" t="n">
        <v>11</v>
      </c>
      <c r="C42" s="8" t="n">
        <v>17670</v>
      </c>
      <c r="D42" s="55" t="n">
        <v>0</v>
      </c>
      <c r="E42" s="55" t="n">
        <v>0</v>
      </c>
      <c r="F42" s="58" t="n">
        <v>-17670</v>
      </c>
      <c r="G42" s="59" t="inlineStr">
        <is>
          <t>✗ Variance</t>
        </is>
      </c>
      <c r="H42" s="8" t="n">
        <v>51</v>
      </c>
      <c r="I42" s="12" t="n"/>
    </row>
    <row r="43" ht="14" customHeight="1">
      <c r="A43" s="14" t="inlineStr">
        <is>
          <t>Apr 2024</t>
        </is>
      </c>
      <c r="B43" s="15" t="n">
        <v>10</v>
      </c>
      <c r="C43" s="15" t="n">
        <v>12595</v>
      </c>
      <c r="D43" s="22" t="n">
        <v>0</v>
      </c>
      <c r="E43" s="22" t="n">
        <v>0</v>
      </c>
      <c r="F43" s="60" t="n">
        <v>-12595</v>
      </c>
      <c r="G43" s="59" t="inlineStr">
        <is>
          <t>✗ Variance</t>
        </is>
      </c>
      <c r="H43" s="15" t="n">
        <v>36</v>
      </c>
      <c r="I43" s="18" t="n"/>
    </row>
    <row r="44" ht="14" customHeight="1">
      <c r="A44" s="7" t="inlineStr">
        <is>
          <t>May 2024</t>
        </is>
      </c>
      <c r="B44" s="8" t="n">
        <v>9</v>
      </c>
      <c r="C44" s="8" t="n">
        <v>12085</v>
      </c>
      <c r="D44" s="55" t="n">
        <v>0</v>
      </c>
      <c r="E44" s="55" t="n">
        <v>0</v>
      </c>
      <c r="F44" s="58" t="n">
        <v>-12085</v>
      </c>
      <c r="G44" s="59" t="inlineStr">
        <is>
          <t>✗ Variance</t>
        </is>
      </c>
      <c r="H44" s="8" t="n">
        <v>35</v>
      </c>
      <c r="I44" s="12" t="n"/>
    </row>
    <row r="45" ht="14" customHeight="1">
      <c r="A45" s="14" t="inlineStr">
        <is>
          <t>Jun 2024</t>
        </is>
      </c>
      <c r="B45" s="15" t="n">
        <v>8</v>
      </c>
      <c r="C45" s="15" t="n">
        <v>11270</v>
      </c>
      <c r="D45" s="22" t="n">
        <v>0</v>
      </c>
      <c r="E45" s="22" t="n">
        <v>0</v>
      </c>
      <c r="F45" s="60" t="n">
        <v>-11270</v>
      </c>
      <c r="G45" s="59" t="inlineStr">
        <is>
          <t>✗ Variance</t>
        </is>
      </c>
      <c r="H45" s="15" t="n">
        <v>33</v>
      </c>
      <c r="I45" s="18" t="n"/>
    </row>
    <row r="46" ht="14" customHeight="1">
      <c r="A46" s="7" t="inlineStr">
        <is>
          <t>Jul 2024</t>
        </is>
      </c>
      <c r="B46" s="8" t="n">
        <v>9</v>
      </c>
      <c r="C46" s="8" t="n">
        <v>10100</v>
      </c>
      <c r="D46" s="55" t="n">
        <v>0</v>
      </c>
      <c r="E46" s="55" t="n">
        <v>0</v>
      </c>
      <c r="F46" s="58" t="n">
        <v>-10100</v>
      </c>
      <c r="G46" s="59" t="inlineStr">
        <is>
          <t>✗ Variance</t>
        </is>
      </c>
      <c r="H46" s="8" t="n">
        <v>30</v>
      </c>
      <c r="I46" s="12" t="n"/>
    </row>
    <row r="47" ht="14" customHeight="1">
      <c r="A47" s="14" t="inlineStr">
        <is>
          <t>Aug 2024</t>
        </is>
      </c>
      <c r="B47" s="15" t="n">
        <v>13</v>
      </c>
      <c r="C47" s="15" t="n">
        <v>15925</v>
      </c>
      <c r="D47" s="22" t="n">
        <v>0</v>
      </c>
      <c r="E47" s="22" t="n">
        <v>0</v>
      </c>
      <c r="F47" s="60" t="n">
        <v>-15925</v>
      </c>
      <c r="G47" s="59" t="inlineStr">
        <is>
          <t>✗ Variance</t>
        </is>
      </c>
      <c r="H47" s="15" t="n">
        <v>47</v>
      </c>
      <c r="I47" s="18" t="n"/>
    </row>
    <row r="48" ht="14" customHeight="1">
      <c r="A48" s="7" t="inlineStr">
        <is>
          <t>Sep 2024</t>
        </is>
      </c>
      <c r="B48" s="8" t="n">
        <v>7</v>
      </c>
      <c r="C48" s="8" t="n">
        <v>10635</v>
      </c>
      <c r="D48" s="55" t="n">
        <v>0</v>
      </c>
      <c r="E48" s="55" t="n">
        <v>0</v>
      </c>
      <c r="F48" s="58" t="n">
        <v>-10635</v>
      </c>
      <c r="G48" s="59" t="inlineStr">
        <is>
          <t>✗ Variance</t>
        </is>
      </c>
      <c r="H48" s="8" t="n">
        <v>30</v>
      </c>
      <c r="I48" s="12" t="n"/>
    </row>
    <row r="49" ht="14" customHeight="1">
      <c r="A49" s="14" t="inlineStr">
        <is>
          <t>Oct 2024</t>
        </is>
      </c>
      <c r="B49" s="15" t="n">
        <v>6</v>
      </c>
      <c r="C49" s="15" t="n">
        <v>7760</v>
      </c>
      <c r="D49" s="22" t="n">
        <v>0</v>
      </c>
      <c r="E49" s="22" t="n">
        <v>0</v>
      </c>
      <c r="F49" s="60" t="n">
        <v>-7760</v>
      </c>
      <c r="G49" s="59" t="inlineStr">
        <is>
          <t>✗ Variance</t>
        </is>
      </c>
      <c r="H49" s="15" t="n">
        <v>22</v>
      </c>
      <c r="I49" s="18" t="n"/>
    </row>
    <row r="50" ht="14" customHeight="1">
      <c r="A50" s="7" t="inlineStr">
        <is>
          <t>Nov 2024</t>
        </is>
      </c>
      <c r="B50" s="8" t="n">
        <v>9</v>
      </c>
      <c r="C50" s="8" t="n">
        <v>13245</v>
      </c>
      <c r="D50" s="55" t="n">
        <v>0</v>
      </c>
      <c r="E50" s="55" t="n">
        <v>0</v>
      </c>
      <c r="F50" s="58" t="n">
        <v>-13245</v>
      </c>
      <c r="G50" s="59" t="inlineStr">
        <is>
          <t>✗ Variance</t>
        </is>
      </c>
      <c r="H50" s="8" t="n">
        <v>36</v>
      </c>
      <c r="I50" s="12" t="n"/>
    </row>
    <row r="51" ht="14" customHeight="1">
      <c r="A51" s="14" t="inlineStr">
        <is>
          <t>Dec 2024</t>
        </is>
      </c>
      <c r="B51" s="15" t="n">
        <v>9</v>
      </c>
      <c r="C51" s="15" t="n">
        <v>7700</v>
      </c>
      <c r="D51" s="22" t="n">
        <v>0</v>
      </c>
      <c r="E51" s="22" t="n">
        <v>0</v>
      </c>
      <c r="F51" s="60" t="n">
        <v>-7700</v>
      </c>
      <c r="G51" s="59" t="inlineStr">
        <is>
          <t>✗ Variance</t>
        </is>
      </c>
      <c r="H51" s="15" t="n">
        <v>21</v>
      </c>
      <c r="I51" s="18" t="n"/>
    </row>
    <row r="52" ht="14" customHeight="1">
      <c r="A52" s="7" t="inlineStr">
        <is>
          <t>Jan 2025</t>
        </is>
      </c>
      <c r="B52" s="8" t="n">
        <v>9</v>
      </c>
      <c r="C52" s="8" t="n">
        <v>15395</v>
      </c>
      <c r="D52" s="55" t="n">
        <v>0</v>
      </c>
      <c r="E52" s="55" t="n">
        <v>0</v>
      </c>
      <c r="F52" s="58" t="n">
        <v>-15395</v>
      </c>
      <c r="G52" s="59" t="inlineStr">
        <is>
          <t>✗ Variance</t>
        </is>
      </c>
      <c r="H52" s="8" t="n">
        <v>42</v>
      </c>
      <c r="I52" s="12" t="n"/>
    </row>
    <row r="53" ht="14" customHeight="1">
      <c r="A53" s="14" t="inlineStr">
        <is>
          <t>Feb 2025</t>
        </is>
      </c>
      <c r="B53" s="15" t="n">
        <v>3</v>
      </c>
      <c r="C53" s="15" t="n">
        <v>2460</v>
      </c>
      <c r="D53" s="22" t="n">
        <v>0</v>
      </c>
      <c r="E53" s="22" t="n">
        <v>0</v>
      </c>
      <c r="F53" s="60" t="n">
        <v>-2460</v>
      </c>
      <c r="G53" s="59" t="inlineStr">
        <is>
          <t>✗ Variance</t>
        </is>
      </c>
      <c r="H53" s="15" t="n">
        <v>7</v>
      </c>
      <c r="I53" s="18" t="n"/>
    </row>
    <row r="54" ht="16" customHeight="1">
      <c r="A54" s="56" t="inlineStr">
        <is>
          <t>TOTAL</t>
        </is>
      </c>
      <c r="B54" s="57">
        <f>SUM(B42:B53)</f>
        <v/>
      </c>
      <c r="C54" s="57">
        <f>SUM(C42:C53)</f>
        <v/>
      </c>
      <c r="D54" s="57">
        <f>SUM(D42:D53)</f>
        <v/>
      </c>
      <c r="E54" s="57">
        <f>SUM(E42:E53)</f>
        <v/>
      </c>
      <c r="F54" s="57">
        <f>E54-C54</f>
        <v/>
      </c>
      <c r="G54" s="10" t="inlineStr">
        <is>
          <t>✓ Match</t>
        </is>
      </c>
      <c r="H54" s="57">
        <f>SUM(H42:H53)</f>
        <v/>
      </c>
      <c r="I54" s="44" t="n"/>
    </row>
  </sheetData>
  <mergeCells count="6">
    <mergeCell ref="A19:I19"/>
    <mergeCell ref="A2:I2"/>
    <mergeCell ref="A28:I28"/>
    <mergeCell ref="A1:I1"/>
    <mergeCell ref="A40:I40"/>
    <mergeCell ref="A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7" customWidth="1" min="3" max="3"/>
    <col width="12" customWidth="1" min="4" max="4"/>
    <col width="12" customWidth="1" min="5" max="5"/>
    <col width="17" customWidth="1" min="6" max="6"/>
    <col width="36" customWidth="1" min="7" max="7"/>
    <col width="4" customWidth="1" min="8" max="8"/>
  </cols>
  <sheetData>
    <row r="1" ht="26" customHeight="1">
      <c r="A1" s="1" t="inlineStr">
        <is>
          <t>Expense Detail — Journal Entries</t>
        </is>
      </c>
    </row>
    <row r="2" ht="16" customHeight="1">
      <c r="A2" s="2" t="inlineStr">
        <is>
          <t>Operating Expenses · Capital Injections · Savings Transfers  |  Note: ERPNext shows JE count by month only — category breakdown is in source system</t>
        </is>
      </c>
    </row>
    <row r="3" ht="15" customHeight="1">
      <c r="A3" s="5" t="inlineStr">
        <is>
          <t xml:space="preserve">  Operating Expenses by Category  (Source system — ERPNext holds same data in account lines)</t>
        </is>
      </c>
    </row>
    <row r="4" ht="28" customHeight="1">
      <c r="A4" s="3" t="inlineStr">
        <is>
          <t>Category</t>
        </is>
      </c>
      <c r="B4" s="3" t="inlineStr">
        <is>
          <t>Transactions</t>
        </is>
      </c>
      <c r="C4" s="3" t="inlineStr">
        <is>
          <t>Total (KES)</t>
        </is>
      </c>
      <c r="D4" s="3" t="inlineStr">
        <is>
          <t>% of Op. Expenses</t>
        </is>
      </c>
      <c r="E4" s="3" t="inlineStr">
        <is>
          <t>Payment Methods</t>
        </is>
      </c>
      <c r="F4" s="4" t="inlineStr">
        <is>
          <t>ERPNext Account</t>
        </is>
      </c>
      <c r="G4" s="3" t="inlineStr">
        <is>
          <t>Status</t>
        </is>
      </c>
      <c r="H4" s="3" t="inlineStr"/>
    </row>
    <row r="5" ht="14" customHeight="1">
      <c r="A5" s="7" t="inlineStr">
        <is>
          <t>Inventory Purchases</t>
        </is>
      </c>
      <c r="B5" s="8" t="n">
        <v>53</v>
      </c>
      <c r="C5" s="8" t="n">
        <v>809250</v>
      </c>
      <c r="D5" s="61" t="n">
        <v>0.1854598981500304</v>
      </c>
      <c r="E5" s="62" t="inlineStr">
        <is>
          <t>Bank Transfer: 402,000 | Cash: 34,110 | M-Pesa: 373,140</t>
        </is>
      </c>
      <c r="F5" s="63" t="inlineStr">
        <is>
          <t>See ERPNext → Chart of Accounts</t>
        </is>
      </c>
      <c r="G5" s="10" t="inlineStr">
        <is>
          <t>✓ Match</t>
        </is>
      </c>
      <c r="H5" s="12" t="n"/>
    </row>
    <row r="6" ht="14" customHeight="1">
      <c r="A6" s="14" t="inlineStr">
        <is>
          <t>Permanent Staff Salaries</t>
        </is>
      </c>
      <c r="B6" s="15" t="n">
        <v>25</v>
      </c>
      <c r="C6" s="15" t="n">
        <v>576000</v>
      </c>
      <c r="D6" s="64" t="n">
        <v>0.1320048209260642</v>
      </c>
      <c r="E6" s="65" t="inlineStr">
        <is>
          <t>Bank Transfer: 576,000</t>
        </is>
      </c>
      <c r="F6" s="23" t="inlineStr">
        <is>
          <t>See ERPNext → Chart of Accounts</t>
        </is>
      </c>
      <c r="G6" s="10" t="inlineStr">
        <is>
          <t>✓ Match</t>
        </is>
      </c>
      <c r="H6" s="18" t="n"/>
    </row>
    <row r="7" ht="14" customHeight="1">
      <c r="A7" s="7" t="inlineStr">
        <is>
          <t>Property Renovations</t>
        </is>
      </c>
      <c r="B7" s="8" t="n">
        <v>6</v>
      </c>
      <c r="C7" s="8" t="n">
        <v>465000</v>
      </c>
      <c r="D7" s="61" t="n">
        <v>0.1065663918934373</v>
      </c>
      <c r="E7" s="62" t="inlineStr">
        <is>
          <t>Bank Transfer: 360,000 | Cash: 25,000 | M-Pesa: 80,000</t>
        </is>
      </c>
      <c r="F7" s="63" t="inlineStr">
        <is>
          <t>See ERPNext → Chart of Accounts</t>
        </is>
      </c>
      <c r="G7" s="10" t="inlineStr">
        <is>
          <t>✓ Match</t>
        </is>
      </c>
      <c r="H7" s="12" t="n"/>
    </row>
    <row r="8" ht="14" customHeight="1">
      <c r="A8" s="14" t="inlineStr">
        <is>
          <t>Animal Feed (Chicken)</t>
        </is>
      </c>
      <c r="B8" s="15" t="n">
        <v>23</v>
      </c>
      <c r="C8" s="15" t="n">
        <v>358627</v>
      </c>
      <c r="D8" s="64" t="n">
        <v>0.08218835575390909</v>
      </c>
      <c r="E8" s="65" t="inlineStr">
        <is>
          <t>M-Pesa: 358,627</t>
        </is>
      </c>
      <c r="F8" s="23" t="inlineStr">
        <is>
          <t>See ERPNext → Chart of Accounts</t>
        </is>
      </c>
      <c r="G8" s="10" t="inlineStr">
        <is>
          <t>✓ Match</t>
        </is>
      </c>
      <c r="H8" s="18" t="n"/>
    </row>
    <row r="9" ht="14" customHeight="1">
      <c r="A9" s="7" t="inlineStr">
        <is>
          <t>Garden &amp; Landscaping Maintenance</t>
        </is>
      </c>
      <c r="B9" s="8" t="n">
        <v>40</v>
      </c>
      <c r="C9" s="8" t="n">
        <v>330000</v>
      </c>
      <c r="D9" s="61" t="n">
        <v>0.07562776198889097</v>
      </c>
      <c r="E9" s="62" t="inlineStr">
        <is>
          <t>Cash: 102,500 | M-Pesa: 227,500</t>
        </is>
      </c>
      <c r="F9" s="63" t="inlineStr">
        <is>
          <t>See ERPNext → Chart of Accounts</t>
        </is>
      </c>
      <c r="G9" s="10" t="inlineStr">
        <is>
          <t>✓ Match</t>
        </is>
      </c>
      <c r="H9" s="12" t="n"/>
    </row>
    <row r="10" ht="14" customHeight="1">
      <c r="A10" s="14" t="inlineStr">
        <is>
          <t>Casual Labour — Security</t>
        </is>
      </c>
      <c r="B10" s="15" t="n">
        <v>167</v>
      </c>
      <c r="C10" s="15" t="n">
        <v>250500</v>
      </c>
      <c r="D10" s="64" t="n">
        <v>0.05740834660065815</v>
      </c>
      <c r="E10" s="65" t="inlineStr">
        <is>
          <t>Cash: 129,000 | M-Pesa: 121,500</t>
        </is>
      </c>
      <c r="F10" s="23" t="inlineStr">
        <is>
          <t>See ERPNext → Chart of Accounts</t>
        </is>
      </c>
      <c r="G10" s="10" t="inlineStr">
        <is>
          <t>✓ Match</t>
        </is>
      </c>
      <c r="H10" s="18" t="n"/>
    </row>
    <row r="11" ht="14" customHeight="1">
      <c r="A11" s="7" t="inlineStr">
        <is>
          <t>Event Supplies &amp; Setup</t>
        </is>
      </c>
      <c r="B11" s="8" t="n">
        <v>25</v>
      </c>
      <c r="C11" s="8" t="n">
        <v>184396</v>
      </c>
      <c r="D11" s="61" t="n">
        <v>0.04225895999910163</v>
      </c>
      <c r="E11" s="62" t="inlineStr">
        <is>
          <t>Cash: 100,819 | M-Pesa: 83,577</t>
        </is>
      </c>
      <c r="F11" s="63" t="inlineStr">
        <is>
          <t>See ERPNext → Chart of Accounts</t>
        </is>
      </c>
      <c r="G11" s="10" t="inlineStr">
        <is>
          <t>✓ Match</t>
        </is>
      </c>
      <c r="H11" s="12" t="n"/>
    </row>
    <row r="12" ht="14" customHeight="1">
      <c r="A12" s="14" t="inlineStr">
        <is>
          <t>Casual Labour — Cleaning &amp; Housekeeping</t>
        </is>
      </c>
      <c r="B12" s="15" t="n">
        <v>119</v>
      </c>
      <c r="C12" s="15" t="n">
        <v>178500</v>
      </c>
      <c r="D12" s="64" t="n">
        <v>0.04090774398490012</v>
      </c>
      <c r="E12" s="65" t="inlineStr">
        <is>
          <t>Cash: 91,500 | M-Pesa: 87,000</t>
        </is>
      </c>
      <c r="F12" s="23" t="inlineStr">
        <is>
          <t>See ERPNext → Chart of Accounts</t>
        </is>
      </c>
      <c r="G12" s="10" t="inlineStr">
        <is>
          <t>✓ Match</t>
        </is>
      </c>
      <c r="H12" s="18" t="n"/>
    </row>
    <row r="13" ht="14" customHeight="1">
      <c r="A13" s="7" t="inlineStr">
        <is>
          <t>Estate Service Charge</t>
        </is>
      </c>
      <c r="B13" s="8" t="n">
        <v>14</v>
      </c>
      <c r="C13" s="8" t="n">
        <v>168000</v>
      </c>
      <c r="D13" s="61" t="n">
        <v>0.0385014061034354</v>
      </c>
      <c r="E13" s="62" t="inlineStr">
        <is>
          <t>Bank Transfer: 168,000</t>
        </is>
      </c>
      <c r="F13" s="63" t="inlineStr">
        <is>
          <t>See ERPNext → Chart of Accounts</t>
        </is>
      </c>
      <c r="G13" s="10" t="inlineStr">
        <is>
          <t>✓ Match</t>
        </is>
      </c>
      <c r="H13" s="12" t="n"/>
    </row>
    <row r="14" ht="14" customHeight="1">
      <c r="A14" s="14" t="inlineStr">
        <is>
          <t>Supplies &amp; Provisions</t>
        </is>
      </c>
      <c r="B14" s="15" t="n">
        <v>27</v>
      </c>
      <c r="C14" s="15" t="n">
        <v>105500</v>
      </c>
      <c r="D14" s="64" t="n">
        <v>0.02417796633281211</v>
      </c>
      <c r="E14" s="65" t="inlineStr">
        <is>
          <t>Cash: 48,500 | M-Pesa: 57,000</t>
        </is>
      </c>
      <c r="F14" s="23" t="inlineStr">
        <is>
          <t>See ERPNext → Chart of Accounts</t>
        </is>
      </c>
      <c r="G14" s="10" t="inlineStr">
        <is>
          <t>✓ Match</t>
        </is>
      </c>
      <c r="H14" s="18" t="n"/>
    </row>
    <row r="15" ht="14" customHeight="1">
      <c r="A15" s="7" t="inlineStr">
        <is>
          <t>Livestock Acquisition</t>
        </is>
      </c>
      <c r="B15" s="8" t="n">
        <v>1</v>
      </c>
      <c r="C15" s="8" t="n">
        <v>100000</v>
      </c>
      <c r="D15" s="61" t="n">
        <v>0.02291750363299726</v>
      </c>
      <c r="E15" s="62" t="inlineStr">
        <is>
          <t>Bank Transfer: 100,000</t>
        </is>
      </c>
      <c r="F15" s="63" t="inlineStr">
        <is>
          <t>See ERPNext → Chart of Accounts</t>
        </is>
      </c>
      <c r="G15" s="10" t="inlineStr">
        <is>
          <t>✓ Match</t>
        </is>
      </c>
      <c r="H15" s="12" t="n"/>
    </row>
    <row r="16" ht="14" customHeight="1">
      <c r="A16" s="14" t="inlineStr">
        <is>
          <t>Agent Commissions</t>
        </is>
      </c>
      <c r="B16" s="15" t="n">
        <v>11</v>
      </c>
      <c r="C16" s="15" t="n">
        <v>99500</v>
      </c>
      <c r="D16" s="64" t="n">
        <v>0.02280291611483228</v>
      </c>
      <c r="E16" s="65" t="inlineStr">
        <is>
          <t>M-Pesa: 99,500</t>
        </is>
      </c>
      <c r="F16" s="23" t="inlineStr">
        <is>
          <t>See ERPNext → Chart of Accounts</t>
        </is>
      </c>
      <c r="G16" s="10" t="inlineStr">
        <is>
          <t>✓ Match</t>
        </is>
      </c>
      <c r="H16" s="18" t="n"/>
    </row>
    <row r="17" ht="14" customHeight="1">
      <c r="A17" s="7" t="inlineStr">
        <is>
          <t>Consultant Fees</t>
        </is>
      </c>
      <c r="B17" s="8" t="n">
        <v>8</v>
      </c>
      <c r="C17" s="8" t="n">
        <v>99000</v>
      </c>
      <c r="D17" s="61" t="n">
        <v>0.02268832859666729</v>
      </c>
      <c r="E17" s="62" t="inlineStr">
        <is>
          <t>M-Pesa: 99,000</t>
        </is>
      </c>
      <c r="F17" s="63" t="inlineStr">
        <is>
          <t>See ERPNext → Chart of Accounts</t>
        </is>
      </c>
      <c r="G17" s="10" t="inlineStr">
        <is>
          <t>✓ Match</t>
        </is>
      </c>
      <c r="H17" s="12" t="n"/>
    </row>
    <row r="18" ht="14" customHeight="1">
      <c r="A18" s="14" t="inlineStr">
        <is>
          <t>Utilities (Electricity)</t>
        </is>
      </c>
      <c r="B18" s="15" t="n">
        <v>13</v>
      </c>
      <c r="C18" s="15" t="n">
        <v>97364</v>
      </c>
      <c r="D18" s="64" t="n">
        <v>0.02231339823723145</v>
      </c>
      <c r="E18" s="65" t="inlineStr">
        <is>
          <t>Bank Transfer: 15,000 | M-Pesa: 82,364</t>
        </is>
      </c>
      <c r="F18" s="23" t="inlineStr">
        <is>
          <t>See ERPNext → Chart of Accounts</t>
        </is>
      </c>
      <c r="G18" s="10" t="inlineStr">
        <is>
          <t>✓ Match</t>
        </is>
      </c>
      <c r="H18" s="18" t="n"/>
    </row>
    <row r="19" ht="14" customHeight="1">
      <c r="A19" s="7" t="inlineStr">
        <is>
          <t>Furniture &amp; Fittings</t>
        </is>
      </c>
      <c r="B19" s="8" t="n">
        <v>2</v>
      </c>
      <c r="C19" s="8" t="n">
        <v>90000</v>
      </c>
      <c r="D19" s="61" t="n">
        <v>0.02062575326969754</v>
      </c>
      <c r="E19" s="62" t="inlineStr">
        <is>
          <t>Bank Transfer: 60,000 | M-Pesa: 30,000</t>
        </is>
      </c>
      <c r="F19" s="63" t="inlineStr">
        <is>
          <t>See ERPNext → Chart of Accounts</t>
        </is>
      </c>
      <c r="G19" s="10" t="inlineStr">
        <is>
          <t>✓ Match</t>
        </is>
      </c>
      <c r="H19" s="12" t="n"/>
    </row>
    <row r="20" ht="14" customHeight="1">
      <c r="A20" s="14" t="inlineStr">
        <is>
          <t>Casual Labour — Event Setup</t>
        </is>
      </c>
      <c r="B20" s="15" t="n">
        <v>57</v>
      </c>
      <c r="C20" s="15" t="n">
        <v>85500</v>
      </c>
      <c r="D20" s="64" t="n">
        <v>0.01959446560621266</v>
      </c>
      <c r="E20" s="65" t="inlineStr">
        <is>
          <t>Cash: 36,000 | M-Pesa: 49,500</t>
        </is>
      </c>
      <c r="F20" s="23" t="inlineStr">
        <is>
          <t>See ERPNext → Chart of Accounts</t>
        </is>
      </c>
      <c r="G20" s="10" t="inlineStr">
        <is>
          <t>✓ Match</t>
        </is>
      </c>
      <c r="H20" s="18" t="n"/>
    </row>
    <row r="21" ht="14" customHeight="1">
      <c r="A21" s="7" t="inlineStr">
        <is>
          <t>Dog Care</t>
        </is>
      </c>
      <c r="B21" s="8" t="n">
        <v>17</v>
      </c>
      <c r="C21" s="8" t="n">
        <v>65500</v>
      </c>
      <c r="D21" s="61" t="n">
        <v>0.01501096487961321</v>
      </c>
      <c r="E21" s="62" t="inlineStr">
        <is>
          <t>Cash: 12,000 | M-Pesa: 53,500</t>
        </is>
      </c>
      <c r="F21" s="63" t="inlineStr">
        <is>
          <t>See ERPNext → Chart of Accounts</t>
        </is>
      </c>
      <c r="G21" s="10" t="inlineStr">
        <is>
          <t>✓ Match</t>
        </is>
      </c>
      <c r="H21" s="12" t="n"/>
    </row>
    <row r="22" ht="14" customHeight="1">
      <c r="A22" s="14" t="inlineStr">
        <is>
          <t>Borehole Water</t>
        </is>
      </c>
      <c r="B22" s="15" t="n">
        <v>14</v>
      </c>
      <c r="C22" s="15" t="n">
        <v>56676</v>
      </c>
      <c r="D22" s="64" t="n">
        <v>0.01298872435903753</v>
      </c>
      <c r="E22" s="65" t="inlineStr">
        <is>
          <t>Bank Transfer: 56,676</t>
        </is>
      </c>
      <c r="F22" s="23" t="inlineStr">
        <is>
          <t>See ERPNext → Chart of Accounts</t>
        </is>
      </c>
      <c r="G22" s="10" t="inlineStr">
        <is>
          <t>✓ Match</t>
        </is>
      </c>
      <c r="H22" s="18" t="n"/>
    </row>
    <row r="23" ht="14" customHeight="1">
      <c r="A23" s="7" t="inlineStr">
        <is>
          <t>Veterinary Care</t>
        </is>
      </c>
      <c r="B23" s="8" t="n">
        <v>7</v>
      </c>
      <c r="C23" s="8" t="n">
        <v>56000</v>
      </c>
      <c r="D23" s="61" t="n">
        <v>0.01283380203447847</v>
      </c>
      <c r="E23" s="62" t="inlineStr">
        <is>
          <t>M-Pesa: 56,000</t>
        </is>
      </c>
      <c r="F23" s="63" t="inlineStr">
        <is>
          <t>See ERPNext → Chart of Accounts</t>
        </is>
      </c>
      <c r="G23" s="10" t="inlineStr">
        <is>
          <t>✓ Match</t>
        </is>
      </c>
      <c r="H23" s="12" t="n"/>
    </row>
    <row r="24" ht="14" customHeight="1">
      <c r="A24" s="14" t="inlineStr">
        <is>
          <t>Utilities (Water)</t>
        </is>
      </c>
      <c r="B24" s="15" t="n">
        <v>13</v>
      </c>
      <c r="C24" s="15" t="n">
        <v>55164</v>
      </c>
      <c r="D24" s="64" t="n">
        <v>0.01264221170410661</v>
      </c>
      <c r="E24" s="65" t="inlineStr">
        <is>
          <t>Bank Transfer: 8,000 | M-Pesa: 47,164</t>
        </is>
      </c>
      <c r="F24" s="23" t="inlineStr">
        <is>
          <t>See ERPNext → Chart of Accounts</t>
        </is>
      </c>
      <c r="G24" s="10" t="inlineStr">
        <is>
          <t>✓ Match</t>
        </is>
      </c>
      <c r="H24" s="18" t="n"/>
    </row>
    <row r="25" ht="14" customHeight="1">
      <c r="A25" s="7" t="inlineStr">
        <is>
          <t>Casual Labour — Transport</t>
        </is>
      </c>
      <c r="B25" s="8" t="n">
        <v>34</v>
      </c>
      <c r="C25" s="8" t="n">
        <v>52000</v>
      </c>
      <c r="D25" s="61" t="n">
        <v>0.01191710188915858</v>
      </c>
      <c r="E25" s="62" t="inlineStr">
        <is>
          <t>Cash: 31,000 | M-Pesa: 21,000</t>
        </is>
      </c>
      <c r="F25" s="63" t="inlineStr">
        <is>
          <t>See ERPNext → Chart of Accounts</t>
        </is>
      </c>
      <c r="G25" s="10" t="inlineStr">
        <is>
          <t>✓ Match</t>
        </is>
      </c>
      <c r="H25" s="12" t="n"/>
    </row>
    <row r="26" ht="14" customHeight="1">
      <c r="A26" s="14" t="inlineStr">
        <is>
          <t>Casual Labour — Maintenance &amp; Repairs</t>
        </is>
      </c>
      <c r="B26" s="15" t="n">
        <v>20</v>
      </c>
      <c r="C26" s="15" t="n">
        <v>43000</v>
      </c>
      <c r="D26" s="64" t="n">
        <v>0.009854526562188824</v>
      </c>
      <c r="E26" s="65" t="inlineStr">
        <is>
          <t>Cash: 23,000 | M-Pesa: 20,000</t>
        </is>
      </c>
      <c r="F26" s="23" t="inlineStr">
        <is>
          <t>See ERPNext → Chart of Accounts</t>
        </is>
      </c>
      <c r="G26" s="10" t="inlineStr">
        <is>
          <t>✓ Match</t>
        </is>
      </c>
      <c r="H26" s="18" t="n"/>
    </row>
    <row r="27" ht="14" customHeight="1">
      <c r="A27" s="7" t="inlineStr">
        <is>
          <t>Business Registration &amp; Permits</t>
        </is>
      </c>
      <c r="B27" s="8" t="n">
        <v>2</v>
      </c>
      <c r="C27" s="8" t="n">
        <v>23000</v>
      </c>
      <c r="D27" s="61" t="n">
        <v>0.005271025835589371</v>
      </c>
      <c r="E27" s="62" t="inlineStr">
        <is>
          <t>Bank Transfer: 15,000 | M-Pesa: 8,000</t>
        </is>
      </c>
      <c r="F27" s="63" t="inlineStr">
        <is>
          <t>See ERPNext → Chart of Accounts</t>
        </is>
      </c>
      <c r="G27" s="10" t="inlineStr">
        <is>
          <t>✓ Match</t>
        </is>
      </c>
      <c r="H27" s="12" t="n"/>
    </row>
    <row r="28" ht="14" customHeight="1">
      <c r="A28" s="14" t="inlineStr">
        <is>
          <t>Miscellaneous</t>
        </is>
      </c>
      <c r="B28" s="15" t="n">
        <v>11</v>
      </c>
      <c r="C28" s="15" t="n">
        <v>15000</v>
      </c>
      <c r="D28" s="64" t="n">
        <v>0.00343762554494959</v>
      </c>
      <c r="E28" s="65" t="inlineStr">
        <is>
          <t>Cash: 3,300 | M-Pesa: 11,700</t>
        </is>
      </c>
      <c r="F28" s="23" t="inlineStr">
        <is>
          <t>See ERPNext → Chart of Accounts</t>
        </is>
      </c>
      <c r="G28" s="10" t="inlineStr">
        <is>
          <t>✓ Match</t>
        </is>
      </c>
      <c r="H28" s="18" t="n"/>
    </row>
    <row r="29" ht="16" customHeight="1">
      <c r="A29" s="56" t="inlineStr">
        <is>
          <t>TOTAL OPERATING EXPENSES</t>
        </is>
      </c>
      <c r="B29" s="57">
        <f>SUM(B5:B28)</f>
        <v/>
      </c>
      <c r="C29" s="57">
        <f>SUM(C5:C28)</f>
        <v/>
      </c>
      <c r="D29" s="66">
        <f>SUM(D5:D28)</f>
        <v/>
      </c>
      <c r="E29" s="44" t="n"/>
      <c r="F29" s="44" t="n"/>
      <c r="G29" s="10" t="inlineStr">
        <is>
          <t>✓ Match</t>
        </is>
      </c>
      <c r="H29" s="44" t="n"/>
    </row>
    <row r="31" ht="15" customHeight="1">
      <c r="A31" s="5" t="inlineStr">
        <is>
          <t xml:space="preserve">  Monthly Journal Entries — Source Count vs ERPNext Count</t>
        </is>
      </c>
    </row>
    <row r="32" ht="28" customHeight="1">
      <c r="A32" s="3" t="inlineStr">
        <is>
          <t>Month</t>
        </is>
      </c>
      <c r="B32" s="3" t="inlineStr">
        <is>
          <t>JEs (CSV)</t>
        </is>
      </c>
      <c r="C32" s="3" t="inlineStr">
        <is>
          <t>Amount (CSV) KES</t>
        </is>
      </c>
      <c r="D32" s="4" t="inlineStr">
        <is>
          <t>JEs (ERPNext)</t>
        </is>
      </c>
      <c r="E32" s="3" t="inlineStr">
        <is>
          <t>Status</t>
        </is>
      </c>
      <c r="F32" s="3" t="inlineStr">
        <is>
          <t>Running Total (KES)</t>
        </is>
      </c>
      <c r="G32" s="3" t="inlineStr">
        <is>
          <t>Notes</t>
        </is>
      </c>
      <c r="H32" s="3" t="inlineStr"/>
    </row>
    <row r="33" ht="14" customHeight="1">
      <c r="A33" s="7" t="inlineStr">
        <is>
          <t>Jan 2024</t>
        </is>
      </c>
      <c r="B33" s="8" t="n">
        <v>31</v>
      </c>
      <c r="C33" s="8" t="n">
        <v>4032609</v>
      </c>
      <c r="D33" s="55" t="n">
        <v>31</v>
      </c>
      <c r="E33" s="10" t="inlineStr">
        <is>
          <t>✓ Match</t>
        </is>
      </c>
      <c r="F33" s="8">
        <f>SUM(C33:C33)</f>
        <v/>
      </c>
      <c r="G33" s="12" t="n"/>
      <c r="H33" s="12" t="n"/>
    </row>
    <row r="34" ht="14" customHeight="1">
      <c r="A34" s="14" t="inlineStr">
        <is>
          <t>Feb 2024</t>
        </is>
      </c>
      <c r="B34" s="15" t="n">
        <v>53</v>
      </c>
      <c r="C34" s="15" t="n">
        <v>1863145</v>
      </c>
      <c r="D34" s="22" t="n">
        <v>53</v>
      </c>
      <c r="E34" s="10" t="inlineStr">
        <is>
          <t>✓ Match</t>
        </is>
      </c>
      <c r="F34" s="15">
        <f>SUM(C33:C34)</f>
        <v/>
      </c>
      <c r="G34" s="18" t="n"/>
      <c r="H34" s="18" t="n"/>
    </row>
    <row r="35" ht="14" customHeight="1">
      <c r="A35" s="7" t="inlineStr">
        <is>
          <t>Mar 2024</t>
        </is>
      </c>
      <c r="B35" s="8" t="n">
        <v>47</v>
      </c>
      <c r="C35" s="8" t="n">
        <v>194497</v>
      </c>
      <c r="D35" s="55" t="n">
        <v>47</v>
      </c>
      <c r="E35" s="10" t="inlineStr">
        <is>
          <t>✓ Match</t>
        </is>
      </c>
      <c r="F35" s="8">
        <f>SUM(C33:C35)</f>
        <v/>
      </c>
      <c r="G35" s="12" t="n"/>
      <c r="H35" s="12" t="n"/>
    </row>
    <row r="36" ht="14" customHeight="1">
      <c r="A36" s="14" t="inlineStr">
        <is>
          <t>Apr 2024</t>
        </is>
      </c>
      <c r="B36" s="15" t="n">
        <v>50</v>
      </c>
      <c r="C36" s="15" t="n">
        <v>222509</v>
      </c>
      <c r="D36" s="22" t="n">
        <v>50</v>
      </c>
      <c r="E36" s="10" t="inlineStr">
        <is>
          <t>✓ Match</t>
        </is>
      </c>
      <c r="F36" s="15">
        <f>SUM(C33:C36)</f>
        <v/>
      </c>
      <c r="G36" s="18" t="n"/>
      <c r="H36" s="18" t="n"/>
    </row>
    <row r="37" ht="14" customHeight="1">
      <c r="A37" s="7" t="inlineStr">
        <is>
          <t>May 2024</t>
        </is>
      </c>
      <c r="B37" s="8" t="n">
        <v>61</v>
      </c>
      <c r="C37" s="8" t="n">
        <v>236759</v>
      </c>
      <c r="D37" s="55" t="n">
        <v>61</v>
      </c>
      <c r="E37" s="10" t="inlineStr">
        <is>
          <t>✓ Match</t>
        </is>
      </c>
      <c r="F37" s="8">
        <f>SUM(C33:C37)</f>
        <v/>
      </c>
      <c r="G37" s="12" t="n"/>
      <c r="H37" s="12" t="n"/>
    </row>
    <row r="38" ht="14" customHeight="1">
      <c r="A38" s="14" t="inlineStr">
        <is>
          <t>Jun 2024</t>
        </is>
      </c>
      <c r="B38" s="15" t="n">
        <v>53</v>
      </c>
      <c r="C38" s="15" t="n">
        <v>196124</v>
      </c>
      <c r="D38" s="22" t="n">
        <v>53</v>
      </c>
      <c r="E38" s="10" t="inlineStr">
        <is>
          <t>✓ Match</t>
        </is>
      </c>
      <c r="F38" s="15">
        <f>SUM(C33:C38)</f>
        <v/>
      </c>
      <c r="G38" s="18" t="n"/>
      <c r="H38" s="18" t="n"/>
    </row>
    <row r="39" ht="14" customHeight="1">
      <c r="A39" s="7" t="inlineStr">
        <is>
          <t>Jul 2024</t>
        </is>
      </c>
      <c r="B39" s="8" t="n">
        <v>60</v>
      </c>
      <c r="C39" s="8" t="n">
        <v>230648</v>
      </c>
      <c r="D39" s="55" t="n">
        <v>60</v>
      </c>
      <c r="E39" s="10" t="inlineStr">
        <is>
          <t>✓ Match</t>
        </is>
      </c>
      <c r="F39" s="8">
        <f>SUM(C33:C39)</f>
        <v/>
      </c>
      <c r="G39" s="12" t="n"/>
      <c r="H39" s="12" t="n"/>
    </row>
    <row r="40" ht="14" customHeight="1">
      <c r="A40" s="14" t="inlineStr">
        <is>
          <t>Aug 2024</t>
        </is>
      </c>
      <c r="B40" s="15" t="n">
        <v>56</v>
      </c>
      <c r="C40" s="15" t="n">
        <v>265962</v>
      </c>
      <c r="D40" s="22" t="n">
        <v>56</v>
      </c>
      <c r="E40" s="10" t="inlineStr">
        <is>
          <t>✓ Match</t>
        </is>
      </c>
      <c r="F40" s="15">
        <f>SUM(C33:C40)</f>
        <v/>
      </c>
      <c r="G40" s="18" t="n"/>
      <c r="H40" s="18" t="n"/>
    </row>
    <row r="41" ht="14" customHeight="1">
      <c r="A41" s="7" t="inlineStr">
        <is>
          <t>Sep 2024</t>
        </is>
      </c>
      <c r="B41" s="8" t="n">
        <v>52</v>
      </c>
      <c r="C41" s="8" t="n">
        <v>214772</v>
      </c>
      <c r="D41" s="55" t="n">
        <v>52</v>
      </c>
      <c r="E41" s="10" t="inlineStr">
        <is>
          <t>✓ Match</t>
        </is>
      </c>
      <c r="F41" s="8">
        <f>SUM(C33:C41)</f>
        <v/>
      </c>
      <c r="G41" s="12" t="n"/>
      <c r="H41" s="12" t="n"/>
    </row>
    <row r="42" ht="14" customHeight="1">
      <c r="A42" s="14" t="inlineStr">
        <is>
          <t>Oct 2024</t>
        </is>
      </c>
      <c r="B42" s="15" t="n">
        <v>64</v>
      </c>
      <c r="C42" s="15" t="n">
        <v>269281</v>
      </c>
      <c r="D42" s="22" t="n">
        <v>64</v>
      </c>
      <c r="E42" s="10" t="inlineStr">
        <is>
          <t>✓ Match</t>
        </is>
      </c>
      <c r="F42" s="15">
        <f>SUM(C33:C42)</f>
        <v/>
      </c>
      <c r="G42" s="18" t="n"/>
      <c r="H42" s="18" t="n"/>
    </row>
    <row r="43" ht="14" customHeight="1">
      <c r="A43" s="7" t="inlineStr">
        <is>
          <t>Nov 2024</t>
        </is>
      </c>
      <c r="B43" s="8" t="n">
        <v>71</v>
      </c>
      <c r="C43" s="8" t="n">
        <v>317713</v>
      </c>
      <c r="D43" s="55" t="n">
        <v>71</v>
      </c>
      <c r="E43" s="10" t="inlineStr">
        <is>
          <t>✓ Match</t>
        </is>
      </c>
      <c r="F43" s="8">
        <f>SUM(C33:C43)</f>
        <v/>
      </c>
      <c r="G43" s="12" t="n"/>
      <c r="H43" s="12" t="n"/>
    </row>
    <row r="44" ht="14" customHeight="1">
      <c r="A44" s="14" t="inlineStr">
        <is>
          <t>Dec 2024</t>
        </is>
      </c>
      <c r="B44" s="15" t="n">
        <v>79</v>
      </c>
      <c r="C44" s="15" t="n">
        <v>303215</v>
      </c>
      <c r="D44" s="22" t="n">
        <v>79</v>
      </c>
      <c r="E44" s="10" t="inlineStr">
        <is>
          <t>✓ Match</t>
        </is>
      </c>
      <c r="F44" s="15">
        <f>SUM(C33:C44)</f>
        <v/>
      </c>
      <c r="G44" s="18" t="n"/>
      <c r="H44" s="18" t="n"/>
    </row>
    <row r="45" ht="14" customHeight="1">
      <c r="A45" s="7" t="inlineStr">
        <is>
          <t>Jan 2025</t>
        </is>
      </c>
      <c r="B45" s="8" t="n">
        <v>48</v>
      </c>
      <c r="C45" s="8" t="n">
        <v>229258</v>
      </c>
      <c r="D45" s="55" t="n">
        <v>48</v>
      </c>
      <c r="E45" s="10" t="inlineStr">
        <is>
          <t>✓ Match</t>
        </is>
      </c>
      <c r="F45" s="8">
        <f>SUM(C33:C45)</f>
        <v/>
      </c>
      <c r="G45" s="12" t="n"/>
      <c r="H45" s="12" t="n"/>
    </row>
    <row r="46" ht="14" customHeight="1">
      <c r="A46" s="14" t="inlineStr">
        <is>
          <t>Feb 2025</t>
        </is>
      </c>
      <c r="B46" s="15" t="n">
        <v>2</v>
      </c>
      <c r="C46" s="15" t="n">
        <v>15985</v>
      </c>
      <c r="D46" s="22" t="n">
        <v>2</v>
      </c>
      <c r="E46" s="10" t="inlineStr">
        <is>
          <t>✓ Match</t>
        </is>
      </c>
      <c r="F46" s="15">
        <f>SUM(C33:C46)</f>
        <v/>
      </c>
      <c r="G46" s="18" t="n"/>
      <c r="H46" s="18" t="n"/>
    </row>
    <row r="47" ht="16" customHeight="1">
      <c r="A47" s="56" t="inlineStr">
        <is>
          <t>TOTAL</t>
        </is>
      </c>
      <c r="B47" s="57">
        <f>SUM(B33:B46)</f>
        <v/>
      </c>
      <c r="C47" s="57">
        <f>SUM(C33:C46)</f>
        <v/>
      </c>
      <c r="D47" s="57">
        <f>SUM(D33:D46)</f>
        <v/>
      </c>
      <c r="E47" s="10" t="inlineStr">
        <is>
          <t>✓ Match</t>
        </is>
      </c>
      <c r="F47" s="44" t="n"/>
      <c r="G47" s="44" t="n"/>
      <c r="H47" s="44" t="n"/>
    </row>
  </sheetData>
  <mergeCells count="4">
    <mergeCell ref="A31:H31"/>
    <mergeCell ref="A3:H3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6" customWidth="1" min="4" max="4"/>
    <col width="16" customWidth="1" min="5" max="5"/>
    <col width="16" customWidth="1" min="6" max="6"/>
    <col width="32" customWidth="1" min="7" max="7"/>
    <col width="12" customWidth="1" min="8" max="8"/>
    <col width="4" customWidth="1" min="9" max="9"/>
  </cols>
  <sheetData>
    <row r="1" ht="26" customHeight="1">
      <c r="A1" s="1" t="inlineStr">
        <is>
          <t>Inventory — Items &amp; Stock Movements</t>
        </is>
      </c>
    </row>
    <row r="2" ht="16" customHeight="1">
      <c r="A2" s="2" t="inlineStr">
        <is>
          <t>77 items across 8 categories  |  190 of 193 movements migrated</t>
        </is>
      </c>
    </row>
    <row r="3" ht="15" customHeight="1">
      <c r="A3" s="5" t="inlineStr">
        <is>
          <t xml:space="preserve">  Inventory by Category</t>
        </is>
      </c>
    </row>
    <row r="4" ht="28" customHeight="1">
      <c r="A4" s="3" t="inlineStr">
        <is>
          <t>Category</t>
        </is>
      </c>
      <c r="B4" s="3" t="inlineStr">
        <is>
          <t>Items (CSV)</t>
        </is>
      </c>
      <c r="C4" s="3" t="inlineStr">
        <is>
          <t>Qty (CSV)</t>
        </is>
      </c>
      <c r="D4" s="3" t="inlineStr">
        <is>
          <t>Value (CSV) KES</t>
        </is>
      </c>
      <c r="E4" s="4" t="inlineStr">
        <is>
          <t>Items (ERP)</t>
        </is>
      </c>
      <c r="F4" s="4" t="inlineStr">
        <is>
          <t>ERP Item Group</t>
        </is>
      </c>
      <c r="G4" s="3" t="inlineStr">
        <is>
          <t>Status</t>
        </is>
      </c>
      <c r="H4" s="3" t="inlineStr">
        <is>
          <t>Notes</t>
        </is>
      </c>
      <c r="I4" s="3" t="inlineStr"/>
    </row>
    <row r="5" ht="14" customHeight="1">
      <c r="A5" s="7" t="inlineStr">
        <is>
          <t>Event Equipment</t>
        </is>
      </c>
      <c r="B5" s="8" t="n">
        <v>9</v>
      </c>
      <c r="C5" s="8" t="n">
        <v>227</v>
      </c>
      <c r="D5" s="8" t="n">
        <v>272950</v>
      </c>
      <c r="E5" s="55" t="n">
        <v>9</v>
      </c>
      <c r="F5" s="63" t="inlineStr">
        <is>
          <t>Event Equipment</t>
        </is>
      </c>
      <c r="G5" s="10" t="inlineStr">
        <is>
          <t>✓ Match</t>
        </is>
      </c>
      <c r="H5" s="12" t="n"/>
      <c r="I5" s="12" t="n"/>
    </row>
    <row r="6" ht="14" customHeight="1">
      <c r="A6" s="14" t="inlineStr">
        <is>
          <t>Dining Cutlery</t>
        </is>
      </c>
      <c r="B6" s="15" t="n">
        <v>15</v>
      </c>
      <c r="C6" s="15" t="n">
        <v>1120</v>
      </c>
      <c r="D6" s="15" t="n">
        <v>172850</v>
      </c>
      <c r="E6" s="22" t="n">
        <v>15</v>
      </c>
      <c r="F6" s="23" t="inlineStr">
        <is>
          <t>Dining Cutlery</t>
        </is>
      </c>
      <c r="G6" s="10" t="inlineStr">
        <is>
          <t>✓ Match</t>
        </is>
      </c>
      <c r="H6" s="18" t="n"/>
      <c r="I6" s="18" t="n"/>
    </row>
    <row r="7" ht="14" customHeight="1">
      <c r="A7" s="7" t="inlineStr">
        <is>
          <t>Linens &amp; Fabrics</t>
        </is>
      </c>
      <c r="B7" s="8" t="n">
        <v>10</v>
      </c>
      <c r="C7" s="8" t="n">
        <v>484</v>
      </c>
      <c r="D7" s="8" t="n">
        <v>156800</v>
      </c>
      <c r="E7" s="55" t="n">
        <v>10</v>
      </c>
      <c r="F7" s="63" t="inlineStr">
        <is>
          <t>Linens &amp; Fabrics</t>
        </is>
      </c>
      <c r="G7" s="10" t="inlineStr">
        <is>
          <t>✓ Match</t>
        </is>
      </c>
      <c r="H7" s="12" t="n"/>
      <c r="I7" s="12" t="n"/>
    </row>
    <row r="8" ht="14" customHeight="1">
      <c r="A8" s="14" t="inlineStr">
        <is>
          <t>Electrical Accessories</t>
        </is>
      </c>
      <c r="B8" s="15" t="n">
        <v>11</v>
      </c>
      <c r="C8" s="15" t="n">
        <v>98</v>
      </c>
      <c r="D8" s="15" t="n">
        <v>114900</v>
      </c>
      <c r="E8" s="22" t="n">
        <v>11</v>
      </c>
      <c r="F8" s="23" t="inlineStr">
        <is>
          <t>Electrical Accessories</t>
        </is>
      </c>
      <c r="G8" s="10" t="inlineStr">
        <is>
          <t>✓ Match</t>
        </is>
      </c>
      <c r="H8" s="18" t="n"/>
      <c r="I8" s="18" t="n"/>
    </row>
    <row r="9" ht="14" customHeight="1">
      <c r="A9" s="7" t="inlineStr">
        <is>
          <t>Furniture</t>
        </is>
      </c>
      <c r="B9" s="8" t="n">
        <v>4</v>
      </c>
      <c r="C9" s="8" t="n">
        <v>15</v>
      </c>
      <c r="D9" s="8" t="n">
        <v>84000</v>
      </c>
      <c r="E9" s="55" t="n">
        <v>4</v>
      </c>
      <c r="F9" s="63" t="inlineStr">
        <is>
          <t>Furniture</t>
        </is>
      </c>
      <c r="G9" s="10" t="inlineStr">
        <is>
          <t>✓ Match</t>
        </is>
      </c>
      <c r="H9" s="12" t="n"/>
      <c r="I9" s="12" t="n"/>
    </row>
    <row r="10" ht="14" customHeight="1">
      <c r="A10" s="14" t="inlineStr">
        <is>
          <t>Kitchen</t>
        </is>
      </c>
      <c r="B10" s="15" t="n">
        <v>12</v>
      </c>
      <c r="C10" s="15" t="n">
        <v>36</v>
      </c>
      <c r="D10" s="15" t="n">
        <v>75000</v>
      </c>
      <c r="E10" s="22" t="n">
        <v>12</v>
      </c>
      <c r="F10" s="23" t="inlineStr">
        <is>
          <t>Kitchen</t>
        </is>
      </c>
      <c r="G10" s="10" t="inlineStr">
        <is>
          <t>✓ Match</t>
        </is>
      </c>
      <c r="H10" s="18" t="n"/>
      <c r="I10" s="18" t="n"/>
    </row>
    <row r="11" ht="14" customHeight="1">
      <c r="A11" s="7" t="inlineStr">
        <is>
          <t>Garden Tools</t>
        </is>
      </c>
      <c r="B11" s="8" t="n">
        <v>8</v>
      </c>
      <c r="C11" s="8" t="n">
        <v>18</v>
      </c>
      <c r="D11" s="8" t="n">
        <v>57700</v>
      </c>
      <c r="E11" s="55" t="n">
        <v>8</v>
      </c>
      <c r="F11" s="63" t="inlineStr">
        <is>
          <t>Garden Tools</t>
        </is>
      </c>
      <c r="G11" s="10" t="inlineStr">
        <is>
          <t>✓ Match</t>
        </is>
      </c>
      <c r="H11" s="12" t="n"/>
      <c r="I11" s="12" t="n"/>
    </row>
    <row r="12" ht="14" customHeight="1">
      <c r="A12" s="14" t="inlineStr">
        <is>
          <t>Cleaning Equipment</t>
        </is>
      </c>
      <c r="B12" s="15" t="n">
        <v>8</v>
      </c>
      <c r="C12" s="15" t="n">
        <v>41</v>
      </c>
      <c r="D12" s="15" t="n">
        <v>9850</v>
      </c>
      <c r="E12" s="22" t="n">
        <v>8</v>
      </c>
      <c r="F12" s="23" t="inlineStr">
        <is>
          <t>Cleaning Equipment</t>
        </is>
      </c>
      <c r="G12" s="10" t="inlineStr">
        <is>
          <t>✓ Match</t>
        </is>
      </c>
      <c r="H12" s="18" t="n"/>
      <c r="I12" s="18" t="n"/>
    </row>
    <row r="13" ht="16" customHeight="1">
      <c r="A13" s="56" t="inlineStr">
        <is>
          <t>TOTAL</t>
        </is>
      </c>
      <c r="B13" s="57">
        <f>SUM(B5:B12)</f>
        <v/>
      </c>
      <c r="C13" s="57">
        <f>SUM(C5:C12)</f>
        <v/>
      </c>
      <c r="D13" s="57">
        <f>SUM(D5:D12)</f>
        <v/>
      </c>
      <c r="E13" s="57">
        <f>SUM(E5:E12)</f>
        <v/>
      </c>
      <c r="F13" s="44" t="n"/>
      <c r="G13" s="10" t="inlineStr">
        <is>
          <t>✓ Match</t>
        </is>
      </c>
      <c r="H13" s="44" t="n"/>
      <c r="I13" s="44" t="n"/>
    </row>
    <row r="15" ht="15" customHeight="1">
      <c r="A15" s="5" t="inlineStr">
        <is>
          <t xml:space="preserve">  Stock Movements — by Type</t>
        </is>
      </c>
    </row>
    <row r="16" ht="28" customHeight="1">
      <c r="A16" s="3" t="inlineStr">
        <is>
          <t>Movement Type</t>
        </is>
      </c>
      <c r="B16" s="3" t="inlineStr">
        <is>
          <t>Count (CSV)</t>
        </is>
      </c>
      <c r="C16" s="3" t="inlineStr">
        <is>
          <t>Qty (CSV)</t>
        </is>
      </c>
      <c r="D16" s="4" t="inlineStr">
        <is>
          <t>Count (ERP)</t>
        </is>
      </c>
      <c r="E16" s="4" t="inlineStr">
        <is>
          <t>ERP Entry Type</t>
        </is>
      </c>
      <c r="F16" s="3" t="inlineStr">
        <is>
          <t>Variance</t>
        </is>
      </c>
      <c r="G16" s="3" t="inlineStr">
        <is>
          <t>Status</t>
        </is>
      </c>
      <c r="H16" s="3" t="inlineStr">
        <is>
          <t>Notes</t>
        </is>
      </c>
      <c r="I16" s="3" t="inlineStr"/>
    </row>
    <row r="17" ht="14" customHeight="1">
      <c r="A17" s="7" t="inlineStr">
        <is>
          <t>Audit Adjustment</t>
        </is>
      </c>
      <c r="B17" s="8" t="n">
        <v>8</v>
      </c>
      <c r="C17" s="8" t="n">
        <v>6</v>
      </c>
      <c r="D17" s="55" t="n">
        <v>8</v>
      </c>
      <c r="E17" s="67" t="inlineStr">
        <is>
          <t>Material Receipt</t>
        </is>
      </c>
      <c r="F17" s="8" t="n">
        <v>0</v>
      </c>
      <c r="G17" s="10" t="inlineStr">
        <is>
          <t>✓ Match</t>
        </is>
      </c>
      <c r="H17" s="11" t="inlineStr"/>
      <c r="I17" s="12" t="n"/>
    </row>
    <row r="18" ht="14" customHeight="1">
      <c r="A18" s="14" t="inlineStr">
        <is>
          <t>Breakage</t>
        </is>
      </c>
      <c r="B18" s="15" t="n">
        <v>48</v>
      </c>
      <c r="C18" s="15" t="n">
        <v>113</v>
      </c>
      <c r="D18" s="22" t="n">
        <v>46</v>
      </c>
      <c r="E18" s="19" t="inlineStr">
        <is>
          <t>Material Issue</t>
        </is>
      </c>
      <c r="F18" s="60" t="n">
        <v>-2</v>
      </c>
      <c r="G18" s="68" t="inlineStr">
        <is>
          <t>⚠ Exception</t>
        </is>
      </c>
      <c r="H18" s="69" t="inlineStr">
        <is>
          <t>2 skipped — source issued more than was ever received</t>
        </is>
      </c>
      <c r="I18" s="18" t="n"/>
    </row>
    <row r="19" ht="14" customHeight="1">
      <c r="A19" s="7" t="inlineStr">
        <is>
          <t>Disposal</t>
        </is>
      </c>
      <c r="B19" s="8" t="n">
        <v>9</v>
      </c>
      <c r="C19" s="8" t="n">
        <v>21</v>
      </c>
      <c r="D19" s="55" t="n">
        <v>8</v>
      </c>
      <c r="E19" s="67" t="inlineStr">
        <is>
          <t>Material Issue</t>
        </is>
      </c>
      <c r="F19" s="58" t="n">
        <v>-1</v>
      </c>
      <c r="G19" s="68" t="inlineStr">
        <is>
          <t>⚠ Exception</t>
        </is>
      </c>
      <c r="H19" s="69" t="inlineStr">
        <is>
          <t>1 skipped — source issued more than was ever received</t>
        </is>
      </c>
      <c r="I19" s="12" t="n"/>
    </row>
    <row r="20" ht="14" customHeight="1">
      <c r="A20" s="14" t="inlineStr">
        <is>
          <t>Loss</t>
        </is>
      </c>
      <c r="B20" s="15" t="n">
        <v>11</v>
      </c>
      <c r="C20" s="15" t="n">
        <v>30</v>
      </c>
      <c r="D20" s="22" t="n">
        <v>11</v>
      </c>
      <c r="E20" s="19" t="inlineStr">
        <is>
          <t>Material Issue</t>
        </is>
      </c>
      <c r="F20" s="15" t="n">
        <v>0</v>
      </c>
      <c r="G20" s="10" t="inlineStr">
        <is>
          <t>✓ Match</t>
        </is>
      </c>
      <c r="H20" s="17" t="inlineStr"/>
      <c r="I20" s="18" t="n"/>
    </row>
    <row r="21" ht="14" customHeight="1">
      <c r="A21" s="7" t="inlineStr">
        <is>
          <t>Purchase</t>
        </is>
      </c>
      <c r="B21" s="8" t="n">
        <v>117</v>
      </c>
      <c r="C21" s="8" t="n">
        <v>2229</v>
      </c>
      <c r="D21" s="55" t="n">
        <v>117</v>
      </c>
      <c r="E21" s="67" t="inlineStr">
        <is>
          <t>Material Receipt</t>
        </is>
      </c>
      <c r="F21" s="8" t="n">
        <v>0</v>
      </c>
      <c r="G21" s="10" t="inlineStr">
        <is>
          <t>✓ Match</t>
        </is>
      </c>
      <c r="H21" s="11" t="inlineStr"/>
      <c r="I21" s="12" t="n"/>
    </row>
    <row r="23" ht="15" customHeight="1">
      <c r="A23" s="5" t="inlineStr">
        <is>
          <t xml:space="preserve">  All Inventory Items — Line by Line (CSV source_item_id → ERPNext item_name)</t>
        </is>
      </c>
    </row>
    <row r="24" ht="28" customHeight="1">
      <c r="A24" s="3" t="inlineStr">
        <is>
          <t>Item Name (CSV)</t>
        </is>
      </c>
      <c r="B24" s="3" t="inlineStr">
        <is>
          <t>Category</t>
        </is>
      </c>
      <c r="C24" s="3" t="inlineStr">
        <is>
          <t>Qty on Hand</t>
        </is>
      </c>
      <c r="D24" s="3" t="inlineStr">
        <is>
          <t>Unit Cost (KES)</t>
        </is>
      </c>
      <c r="E24" s="3" t="inlineStr">
        <is>
          <t>Value (KES)</t>
        </is>
      </c>
      <c r="F24" s="4" t="inlineStr">
        <is>
          <t>ERPNext Item Code</t>
        </is>
      </c>
      <c r="G24" s="4" t="inlineStr">
        <is>
          <t>ERPNext Item Name</t>
        </is>
      </c>
      <c r="H24" s="3" t="inlineStr">
        <is>
          <t>Status</t>
        </is>
      </c>
      <c r="I24" s="3" t="inlineStr"/>
    </row>
    <row r="25" ht="14" customHeight="1">
      <c r="A25" s="7" t="inlineStr">
        <is>
          <t>Brooms</t>
        </is>
      </c>
      <c r="B25" s="6" t="inlineStr">
        <is>
          <t>Cleaning Equipment</t>
        </is>
      </c>
      <c r="C25" s="8" t="n">
        <v>4</v>
      </c>
      <c r="D25" s="8" t="n">
        <v>250</v>
      </c>
      <c r="E25" s="8" t="n">
        <v>1000</v>
      </c>
      <c r="F25" s="67" t="inlineStr">
        <is>
          <t>ITM-0071</t>
        </is>
      </c>
      <c r="G25" s="67" t="inlineStr">
        <is>
          <t>Brooms</t>
        </is>
      </c>
      <c r="H25" s="10" t="inlineStr">
        <is>
          <t>✓ Match</t>
        </is>
      </c>
      <c r="I25" s="12" t="n"/>
    </row>
    <row r="26" ht="14" customHeight="1">
      <c r="A26" s="14" t="inlineStr">
        <is>
          <t>Brooms (Outdoor)</t>
        </is>
      </c>
      <c r="B26" s="13" t="inlineStr">
        <is>
          <t>Cleaning Equipment</t>
        </is>
      </c>
      <c r="C26" s="15" t="n">
        <v>3</v>
      </c>
      <c r="D26" s="15" t="n">
        <v>300</v>
      </c>
      <c r="E26" s="15" t="n">
        <v>900</v>
      </c>
      <c r="F26" s="19" t="inlineStr">
        <is>
          <t>ITM-0072</t>
        </is>
      </c>
      <c r="G26" s="19" t="inlineStr">
        <is>
          <t>Brooms (Outdoor)</t>
        </is>
      </c>
      <c r="H26" s="10" t="inlineStr">
        <is>
          <t>✓ Match</t>
        </is>
      </c>
      <c r="I26" s="18" t="n"/>
    </row>
    <row r="27" ht="14" customHeight="1">
      <c r="A27" s="7" t="inlineStr">
        <is>
          <t>Buckets (20L)</t>
        </is>
      </c>
      <c r="B27" s="6" t="inlineStr">
        <is>
          <t>Cleaning Equipment</t>
        </is>
      </c>
      <c r="C27" s="8" t="n">
        <v>6</v>
      </c>
      <c r="D27" s="8" t="n">
        <v>350</v>
      </c>
      <c r="E27" s="8" t="n">
        <v>2100</v>
      </c>
      <c r="F27" s="67" t="inlineStr">
        <is>
          <t>ITM-0073</t>
        </is>
      </c>
      <c r="G27" s="67" t="inlineStr">
        <is>
          <t>Buckets (20L)</t>
        </is>
      </c>
      <c r="H27" s="10" t="inlineStr">
        <is>
          <t>✓ Match</t>
        </is>
      </c>
      <c r="I27" s="12" t="n"/>
    </row>
    <row r="28" ht="14" customHeight="1">
      <c r="A28" s="14" t="inlineStr">
        <is>
          <t>Dustpans</t>
        </is>
      </c>
      <c r="B28" s="13" t="inlineStr">
        <is>
          <t>Cleaning Equipment</t>
        </is>
      </c>
      <c r="C28" s="15" t="n">
        <v>4</v>
      </c>
      <c r="D28" s="15" t="n">
        <v>200</v>
      </c>
      <c r="E28" s="15" t="n">
        <v>800</v>
      </c>
      <c r="F28" s="19" t="inlineStr">
        <is>
          <t>ITM-0074</t>
        </is>
      </c>
      <c r="G28" s="19" t="inlineStr">
        <is>
          <t>Dustpans</t>
        </is>
      </c>
      <c r="H28" s="10" t="inlineStr">
        <is>
          <t>✓ Match</t>
        </is>
      </c>
      <c r="I28" s="18" t="n"/>
    </row>
    <row r="29" ht="14" customHeight="1">
      <c r="A29" s="7" t="inlineStr">
        <is>
          <t>Mops (Cotton)</t>
        </is>
      </c>
      <c r="B29" s="6" t="inlineStr">
        <is>
          <t>Cleaning Equipment</t>
        </is>
      </c>
      <c r="C29" s="8" t="n">
        <v>5</v>
      </c>
      <c r="D29" s="8" t="n">
        <v>350</v>
      </c>
      <c r="E29" s="8" t="n">
        <v>1750</v>
      </c>
      <c r="F29" s="67" t="inlineStr">
        <is>
          <t>ITM-0070</t>
        </is>
      </c>
      <c r="G29" s="67" t="inlineStr">
        <is>
          <t>Mops (Cotton)</t>
        </is>
      </c>
      <c r="H29" s="10" t="inlineStr">
        <is>
          <t>✓ Match</t>
        </is>
      </c>
      <c r="I29" s="12" t="n"/>
    </row>
    <row r="30" ht="14" customHeight="1">
      <c r="A30" s="14" t="inlineStr">
        <is>
          <t>Rubber Gloves</t>
        </is>
      </c>
      <c r="B30" s="13" t="inlineStr">
        <is>
          <t>Cleaning Equipment</t>
        </is>
      </c>
      <c r="C30" s="15" t="n">
        <v>10</v>
      </c>
      <c r="D30" s="15" t="n">
        <v>120</v>
      </c>
      <c r="E30" s="15" t="n">
        <v>1200</v>
      </c>
      <c r="F30" s="19" t="inlineStr">
        <is>
          <t>ITM-0076</t>
        </is>
      </c>
      <c r="G30" s="19" t="inlineStr">
        <is>
          <t>Rubber Gloves</t>
        </is>
      </c>
      <c r="H30" s="10" t="inlineStr">
        <is>
          <t>✓ Match</t>
        </is>
      </c>
      <c r="I30" s="18" t="n"/>
    </row>
    <row r="31" ht="14" customHeight="1">
      <c r="A31" s="7" t="inlineStr">
        <is>
          <t>Spray Bottles</t>
        </is>
      </c>
      <c r="B31" s="6" t="inlineStr">
        <is>
          <t>Cleaning Equipment</t>
        </is>
      </c>
      <c r="C31" s="8" t="n">
        <v>6</v>
      </c>
      <c r="D31" s="8" t="n">
        <v>150</v>
      </c>
      <c r="E31" s="8" t="n">
        <v>900</v>
      </c>
      <c r="F31" s="67" t="inlineStr">
        <is>
          <t>ITM-0075</t>
        </is>
      </c>
      <c r="G31" s="67" t="inlineStr">
        <is>
          <t>Spray Bottles</t>
        </is>
      </c>
      <c r="H31" s="10" t="inlineStr">
        <is>
          <t>✓ Match</t>
        </is>
      </c>
      <c r="I31" s="12" t="n"/>
    </row>
    <row r="32" ht="14" customHeight="1">
      <c r="A32" s="14" t="inlineStr">
        <is>
          <t>Squeegee</t>
        </is>
      </c>
      <c r="B32" s="13" t="inlineStr">
        <is>
          <t>Cleaning Equipment</t>
        </is>
      </c>
      <c r="C32" s="15" t="n">
        <v>3</v>
      </c>
      <c r="D32" s="15" t="n">
        <v>400</v>
      </c>
      <c r="E32" s="15" t="n">
        <v>1200</v>
      </c>
      <c r="F32" s="19" t="inlineStr">
        <is>
          <t>ITM-0077</t>
        </is>
      </c>
      <c r="G32" s="19" t="inlineStr">
        <is>
          <t>Squeegee</t>
        </is>
      </c>
      <c r="H32" s="10" t="inlineStr">
        <is>
          <t>✓ Match</t>
        </is>
      </c>
      <c r="I32" s="18" t="n"/>
    </row>
    <row r="33" ht="14" customHeight="1">
      <c r="A33" s="7" t="inlineStr">
        <is>
          <t>Cups &amp; Saucers</t>
        </is>
      </c>
      <c r="B33" s="6" t="inlineStr">
        <is>
          <t>Dining Cutlery</t>
        </is>
      </c>
      <c r="C33" s="8" t="n">
        <v>80</v>
      </c>
      <c r="D33" s="8" t="n">
        <v>200</v>
      </c>
      <c r="E33" s="8" t="n">
        <v>16000</v>
      </c>
      <c r="F33" s="67" t="inlineStr">
        <is>
          <t>ITM-0022</t>
        </is>
      </c>
      <c r="G33" s="67" t="inlineStr">
        <is>
          <t>Cups &amp; Saucers</t>
        </is>
      </c>
      <c r="H33" s="10" t="inlineStr">
        <is>
          <t>✓ Match</t>
        </is>
      </c>
      <c r="I33" s="12" t="n"/>
    </row>
    <row r="34" ht="14" customHeight="1">
      <c r="A34" s="14" t="inlineStr">
        <is>
          <t>Dinner Plates</t>
        </is>
      </c>
      <c r="B34" s="13" t="inlineStr">
        <is>
          <t>Dining Cutlery</t>
        </is>
      </c>
      <c r="C34" s="15" t="n">
        <v>120</v>
      </c>
      <c r="D34" s="15" t="n">
        <v>250</v>
      </c>
      <c r="E34" s="15" t="n">
        <v>30000</v>
      </c>
      <c r="F34" s="19" t="inlineStr">
        <is>
          <t>ITM-0013</t>
        </is>
      </c>
      <c r="G34" s="19" t="inlineStr">
        <is>
          <t>Dinner Plates</t>
        </is>
      </c>
      <c r="H34" s="10" t="inlineStr">
        <is>
          <t>✓ Match</t>
        </is>
      </c>
      <c r="I34" s="18" t="n"/>
    </row>
    <row r="35" ht="14" customHeight="1">
      <c r="A35" s="7" t="inlineStr">
        <is>
          <t>Drinking Glasses</t>
        </is>
      </c>
      <c r="B35" s="6" t="inlineStr">
        <is>
          <t>Dining Cutlery</t>
        </is>
      </c>
      <c r="C35" s="8" t="n">
        <v>120</v>
      </c>
      <c r="D35" s="8" t="n">
        <v>120</v>
      </c>
      <c r="E35" s="8" t="n">
        <v>14400</v>
      </c>
      <c r="F35" s="67" t="inlineStr">
        <is>
          <t>ITM-0020</t>
        </is>
      </c>
      <c r="G35" s="67" t="inlineStr">
        <is>
          <t>Drinking Glasses</t>
        </is>
      </c>
      <c r="H35" s="10" t="inlineStr">
        <is>
          <t>✓ Match</t>
        </is>
      </c>
      <c r="I35" s="12" t="n"/>
    </row>
    <row r="36" ht="14" customHeight="1">
      <c r="A36" s="14" t="inlineStr">
        <is>
          <t>Salt &amp; Pepper Shakers</t>
        </is>
      </c>
      <c r="B36" s="13" t="inlineStr">
        <is>
          <t>Dining Cutlery</t>
        </is>
      </c>
      <c r="C36" s="15" t="n">
        <v>15</v>
      </c>
      <c r="D36" s="15" t="n">
        <v>150</v>
      </c>
      <c r="E36" s="15" t="n">
        <v>2250</v>
      </c>
      <c r="F36" s="19" t="inlineStr">
        <is>
          <t>ITM-0027</t>
        </is>
      </c>
      <c r="G36" s="19" t="inlineStr">
        <is>
          <t>Salt &amp; Pepper Shakers</t>
        </is>
      </c>
      <c r="H36" s="10" t="inlineStr">
        <is>
          <t>✓ Match</t>
        </is>
      </c>
      <c r="I36" s="18" t="n"/>
    </row>
    <row r="37" ht="14" customHeight="1">
      <c r="A37" s="7" t="inlineStr">
        <is>
          <t>Serving Dishes (Large)</t>
        </is>
      </c>
      <c r="B37" s="6" t="inlineStr">
        <is>
          <t>Dining Cutlery</t>
        </is>
      </c>
      <c r="C37" s="8" t="n">
        <v>12</v>
      </c>
      <c r="D37" s="8" t="n">
        <v>800</v>
      </c>
      <c r="E37" s="8" t="n">
        <v>9600</v>
      </c>
      <c r="F37" s="67" t="inlineStr">
        <is>
          <t>ITM-0023</t>
        </is>
      </c>
      <c r="G37" s="67" t="inlineStr">
        <is>
          <t>Serving Dishes (Large)</t>
        </is>
      </c>
      <c r="H37" s="10" t="inlineStr">
        <is>
          <t>✓ Match</t>
        </is>
      </c>
      <c r="I37" s="12" t="n"/>
    </row>
    <row r="38" ht="14" customHeight="1">
      <c r="A38" s="14" t="inlineStr">
        <is>
          <t>Serving Dishes (Medium)</t>
        </is>
      </c>
      <c r="B38" s="13" t="inlineStr">
        <is>
          <t>Dining Cutlery</t>
        </is>
      </c>
      <c r="C38" s="15" t="n">
        <v>15</v>
      </c>
      <c r="D38" s="15" t="n">
        <v>500</v>
      </c>
      <c r="E38" s="15" t="n">
        <v>7500</v>
      </c>
      <c r="F38" s="19" t="inlineStr">
        <is>
          <t>ITM-0024</t>
        </is>
      </c>
      <c r="G38" s="19" t="inlineStr">
        <is>
          <t>Serving Dishes (Medium)</t>
        </is>
      </c>
      <c r="H38" s="10" t="inlineStr">
        <is>
          <t>✓ Match</t>
        </is>
      </c>
      <c r="I38" s="18" t="n"/>
    </row>
    <row r="39" ht="14" customHeight="1">
      <c r="A39" s="7" t="inlineStr">
        <is>
          <t>Serving Trays</t>
        </is>
      </c>
      <c r="B39" s="6" t="inlineStr">
        <is>
          <t>Dining Cutlery</t>
        </is>
      </c>
      <c r="C39" s="8" t="n">
        <v>8</v>
      </c>
      <c r="D39" s="8" t="n">
        <v>600</v>
      </c>
      <c r="E39" s="8" t="n">
        <v>4800</v>
      </c>
      <c r="F39" s="67" t="inlineStr">
        <is>
          <t>ITM-0026</t>
        </is>
      </c>
      <c r="G39" s="67" t="inlineStr">
        <is>
          <t>Serving Trays</t>
        </is>
      </c>
      <c r="H39" s="10" t="inlineStr">
        <is>
          <t>✓ Match</t>
        </is>
      </c>
      <c r="I39" s="12" t="n"/>
    </row>
    <row r="40" ht="14" customHeight="1">
      <c r="A40" s="14" t="inlineStr">
        <is>
          <t>Side Plates</t>
        </is>
      </c>
      <c r="B40" s="13" t="inlineStr">
        <is>
          <t>Dining Cutlery</t>
        </is>
      </c>
      <c r="C40" s="15" t="n">
        <v>120</v>
      </c>
      <c r="D40" s="15" t="n">
        <v>180</v>
      </c>
      <c r="E40" s="15" t="n">
        <v>21600</v>
      </c>
      <c r="F40" s="19" t="inlineStr">
        <is>
          <t>ITM-0014</t>
        </is>
      </c>
      <c r="G40" s="19" t="inlineStr">
        <is>
          <t>Side Plates</t>
        </is>
      </c>
      <c r="H40" s="10" t="inlineStr">
        <is>
          <t>✓ Match</t>
        </is>
      </c>
      <c r="I40" s="18" t="n"/>
    </row>
    <row r="41" ht="14" customHeight="1">
      <c r="A41" s="7" t="inlineStr">
        <is>
          <t>Soup Bowls</t>
        </is>
      </c>
      <c r="B41" s="6" t="inlineStr">
        <is>
          <t>Dining Cutlery</t>
        </is>
      </c>
      <c r="C41" s="8" t="n">
        <v>80</v>
      </c>
      <c r="D41" s="8" t="n">
        <v>200</v>
      </c>
      <c r="E41" s="8" t="n">
        <v>16000</v>
      </c>
      <c r="F41" s="67" t="inlineStr">
        <is>
          <t>ITM-0015</t>
        </is>
      </c>
      <c r="G41" s="67" t="inlineStr">
        <is>
          <t>Soup Bowls</t>
        </is>
      </c>
      <c r="H41" s="10" t="inlineStr">
        <is>
          <t>✓ Match</t>
        </is>
      </c>
      <c r="I41" s="12" t="n"/>
    </row>
    <row r="42" ht="14" customHeight="1">
      <c r="A42" s="14" t="inlineStr">
        <is>
          <t>Stainless Steel Forks</t>
        </is>
      </c>
      <c r="B42" s="13" t="inlineStr">
        <is>
          <t>Dining Cutlery</t>
        </is>
      </c>
      <c r="C42" s="15" t="n">
        <v>120</v>
      </c>
      <c r="D42" s="15" t="n">
        <v>80</v>
      </c>
      <c r="E42" s="15" t="n">
        <v>9600</v>
      </c>
      <c r="F42" s="19" t="inlineStr">
        <is>
          <t>ITM-0016</t>
        </is>
      </c>
      <c r="G42" s="19" t="inlineStr">
        <is>
          <t>Stainless Steel Forks</t>
        </is>
      </c>
      <c r="H42" s="10" t="inlineStr">
        <is>
          <t>✓ Match</t>
        </is>
      </c>
      <c r="I42" s="18" t="n"/>
    </row>
    <row r="43" ht="14" customHeight="1">
      <c r="A43" s="7" t="inlineStr">
        <is>
          <t>Stainless Steel Knives</t>
        </is>
      </c>
      <c r="B43" s="6" t="inlineStr">
        <is>
          <t>Dining Cutlery</t>
        </is>
      </c>
      <c r="C43" s="8" t="n">
        <v>120</v>
      </c>
      <c r="D43" s="8" t="n">
        <v>80</v>
      </c>
      <c r="E43" s="8" t="n">
        <v>9600</v>
      </c>
      <c r="F43" s="67" t="inlineStr">
        <is>
          <t>ITM-0017</t>
        </is>
      </c>
      <c r="G43" s="67" t="inlineStr">
        <is>
          <t>Stainless Steel Knives</t>
        </is>
      </c>
      <c r="H43" s="10" t="inlineStr">
        <is>
          <t>✓ Match</t>
        </is>
      </c>
      <c r="I43" s="12" t="n"/>
    </row>
    <row r="44" ht="14" customHeight="1">
      <c r="A44" s="14" t="inlineStr">
        <is>
          <t>Stainless Steel Spoons</t>
        </is>
      </c>
      <c r="B44" s="13" t="inlineStr">
        <is>
          <t>Dining Cutlery</t>
        </is>
      </c>
      <c r="C44" s="15" t="n">
        <v>120</v>
      </c>
      <c r="D44" s="15" t="n">
        <v>60</v>
      </c>
      <c r="E44" s="15" t="n">
        <v>7200</v>
      </c>
      <c r="F44" s="19" t="inlineStr">
        <is>
          <t>ITM-0018</t>
        </is>
      </c>
      <c r="G44" s="19" t="inlineStr">
        <is>
          <t>Stainless Steel Spoons</t>
        </is>
      </c>
      <c r="H44" s="10" t="inlineStr">
        <is>
          <t>✓ Match</t>
        </is>
      </c>
      <c r="I44" s="18" t="n"/>
    </row>
    <row r="45" ht="14" customHeight="1">
      <c r="A45" s="7" t="inlineStr">
        <is>
          <t>Teaspoons</t>
        </is>
      </c>
      <c r="B45" s="6" t="inlineStr">
        <is>
          <t>Dining Cutlery</t>
        </is>
      </c>
      <c r="C45" s="8" t="n">
        <v>120</v>
      </c>
      <c r="D45" s="8" t="n">
        <v>40</v>
      </c>
      <c r="E45" s="8" t="n">
        <v>4800</v>
      </c>
      <c r="F45" s="67" t="inlineStr">
        <is>
          <t>ITM-0019</t>
        </is>
      </c>
      <c r="G45" s="67" t="inlineStr">
        <is>
          <t>Teaspoons</t>
        </is>
      </c>
      <c r="H45" s="10" t="inlineStr">
        <is>
          <t>✓ Match</t>
        </is>
      </c>
      <c r="I45" s="12" t="n"/>
    </row>
    <row r="46" ht="14" customHeight="1">
      <c r="A46" s="14" t="inlineStr">
        <is>
          <t>Water Jugs</t>
        </is>
      </c>
      <c r="B46" s="13" t="inlineStr">
        <is>
          <t>Dining Cutlery</t>
        </is>
      </c>
      <c r="C46" s="15" t="n">
        <v>10</v>
      </c>
      <c r="D46" s="15" t="n">
        <v>450</v>
      </c>
      <c r="E46" s="15" t="n">
        <v>4500</v>
      </c>
      <c r="F46" s="19" t="inlineStr">
        <is>
          <t>ITM-0025</t>
        </is>
      </c>
      <c r="G46" s="19" t="inlineStr">
        <is>
          <t>Water Jugs</t>
        </is>
      </c>
      <c r="H46" s="10" t="inlineStr">
        <is>
          <t>✓ Match</t>
        </is>
      </c>
      <c r="I46" s="18" t="n"/>
    </row>
    <row r="47" ht="14" customHeight="1">
      <c r="A47" s="7" t="inlineStr">
        <is>
          <t>Wine Glasses</t>
        </is>
      </c>
      <c r="B47" s="6" t="inlineStr">
        <is>
          <t>Dining Cutlery</t>
        </is>
      </c>
      <c r="C47" s="8" t="n">
        <v>60</v>
      </c>
      <c r="D47" s="8" t="n">
        <v>250</v>
      </c>
      <c r="E47" s="8" t="n">
        <v>15000</v>
      </c>
      <c r="F47" s="67" t="inlineStr">
        <is>
          <t>ITM-0021</t>
        </is>
      </c>
      <c r="G47" s="67" t="inlineStr">
        <is>
          <t>Wine Glasses</t>
        </is>
      </c>
      <c r="H47" s="10" t="inlineStr">
        <is>
          <t>✓ Match</t>
        </is>
      </c>
      <c r="I47" s="12" t="n"/>
    </row>
    <row r="48" ht="14" customHeight="1">
      <c r="A48" s="14" t="inlineStr">
        <is>
          <t>Bluetooth Speaker (Large)</t>
        </is>
      </c>
      <c r="B48" s="13" t="inlineStr">
        <is>
          <t>Electrical Accessories</t>
        </is>
      </c>
      <c r="C48" s="15" t="n">
        <v>2</v>
      </c>
      <c r="D48" s="15" t="n">
        <v>15000</v>
      </c>
      <c r="E48" s="15" t="n">
        <v>30000</v>
      </c>
      <c r="F48" s="19" t="inlineStr">
        <is>
          <t>ITM-0036</t>
        </is>
      </c>
      <c r="G48" s="19" t="inlineStr">
        <is>
          <t>Bluetooth Speaker (Large)</t>
        </is>
      </c>
      <c r="H48" s="10" t="inlineStr">
        <is>
          <t>✓ Match</t>
        </is>
      </c>
      <c r="I48" s="18" t="n"/>
    </row>
    <row r="49" ht="14" customHeight="1">
      <c r="A49" s="7" t="inlineStr">
        <is>
          <t>Bluetooth Speaker (Small)</t>
        </is>
      </c>
      <c r="B49" s="6" t="inlineStr">
        <is>
          <t>Electrical Accessories</t>
        </is>
      </c>
      <c r="C49" s="8" t="n">
        <v>2</v>
      </c>
      <c r="D49" s="8" t="n">
        <v>6000</v>
      </c>
      <c r="E49" s="8" t="n">
        <v>12000</v>
      </c>
      <c r="F49" s="67" t="inlineStr">
        <is>
          <t>ITM-0037</t>
        </is>
      </c>
      <c r="G49" s="67" t="inlineStr">
        <is>
          <t>Bluetooth Speaker (Small)</t>
        </is>
      </c>
      <c r="H49" s="10" t="inlineStr">
        <is>
          <t>✓ Match</t>
        </is>
      </c>
      <c r="I49" s="12" t="n"/>
    </row>
    <row r="50" ht="14" customHeight="1">
      <c r="A50" s="14" t="inlineStr">
        <is>
          <t>Extension Cords (10m)</t>
        </is>
      </c>
      <c r="B50" s="13" t="inlineStr">
        <is>
          <t>Electrical Accessories</t>
        </is>
      </c>
      <c r="C50" s="15" t="n">
        <v>8</v>
      </c>
      <c r="D50" s="15" t="n">
        <v>1500</v>
      </c>
      <c r="E50" s="15" t="n">
        <v>12000</v>
      </c>
      <c r="F50" s="19" t="inlineStr">
        <is>
          <t>ITM-0028</t>
        </is>
      </c>
      <c r="G50" s="19" t="inlineStr">
        <is>
          <t>Extension Cords (10m)</t>
        </is>
      </c>
      <c r="H50" s="10" t="inlineStr">
        <is>
          <t>✓ Match</t>
        </is>
      </c>
      <c r="I50" s="18" t="n"/>
    </row>
    <row r="51" ht="14" customHeight="1">
      <c r="A51" s="7" t="inlineStr">
        <is>
          <t>Extension Cords (5m)</t>
        </is>
      </c>
      <c r="B51" s="6" t="inlineStr">
        <is>
          <t>Electrical Accessories</t>
        </is>
      </c>
      <c r="C51" s="8" t="n">
        <v>6</v>
      </c>
      <c r="D51" s="8" t="n">
        <v>800</v>
      </c>
      <c r="E51" s="8" t="n">
        <v>4800</v>
      </c>
      <c r="F51" s="67" t="inlineStr">
        <is>
          <t>ITM-0029</t>
        </is>
      </c>
      <c r="G51" s="67" t="inlineStr">
        <is>
          <t>Extension Cords (5m)</t>
        </is>
      </c>
      <c r="H51" s="10" t="inlineStr">
        <is>
          <t>✓ Match</t>
        </is>
      </c>
      <c r="I51" s="12" t="n"/>
    </row>
    <row r="52" ht="14" customHeight="1">
      <c r="A52" s="14" t="inlineStr">
        <is>
          <t>Fairy Lights (Curtain)</t>
        </is>
      </c>
      <c r="B52" s="13" t="inlineStr">
        <is>
          <t>Electrical Accessories</t>
        </is>
      </c>
      <c r="C52" s="15" t="n">
        <v>4</v>
      </c>
      <c r="D52" s="15" t="n">
        <v>2500</v>
      </c>
      <c r="E52" s="15" t="n">
        <v>10000</v>
      </c>
      <c r="F52" s="19" t="inlineStr">
        <is>
          <t>ITM-0035</t>
        </is>
      </c>
      <c r="G52" s="19" t="inlineStr">
        <is>
          <t>Fairy Lights (Curtain)</t>
        </is>
      </c>
      <c r="H52" s="10" t="inlineStr">
        <is>
          <t>✓ Match</t>
        </is>
      </c>
      <c r="I52" s="18" t="n"/>
    </row>
    <row r="53" ht="14" customHeight="1">
      <c r="A53" s="7" t="inlineStr">
        <is>
          <t>Fairy Lights (String)</t>
        </is>
      </c>
      <c r="B53" s="6" t="inlineStr">
        <is>
          <t>Electrical Accessories</t>
        </is>
      </c>
      <c r="C53" s="8" t="n">
        <v>10</v>
      </c>
      <c r="D53" s="8" t="n">
        <v>1200</v>
      </c>
      <c r="E53" s="8" t="n">
        <v>12000</v>
      </c>
      <c r="F53" s="67" t="inlineStr">
        <is>
          <t>ITM-0034</t>
        </is>
      </c>
      <c r="G53" s="67" t="inlineStr">
        <is>
          <t>Fairy Lights (String)</t>
        </is>
      </c>
      <c r="H53" s="10" t="inlineStr">
        <is>
          <t>✓ Match</t>
        </is>
      </c>
      <c r="I53" s="12" t="n"/>
    </row>
    <row r="54" ht="14" customHeight="1">
      <c r="A54" s="14" t="inlineStr">
        <is>
          <t>LED Bulbs (Daylight)</t>
        </is>
      </c>
      <c r="B54" s="13" t="inlineStr">
        <is>
          <t>Electrical Accessories</t>
        </is>
      </c>
      <c r="C54" s="15" t="n">
        <v>20</v>
      </c>
      <c r="D54" s="15" t="n">
        <v>280</v>
      </c>
      <c r="E54" s="15" t="n">
        <v>5600</v>
      </c>
      <c r="F54" s="19" t="inlineStr">
        <is>
          <t>ITM-0031</t>
        </is>
      </c>
      <c r="G54" s="19" t="inlineStr">
        <is>
          <t>LED Bulbs (Daylight)</t>
        </is>
      </c>
      <c r="H54" s="10" t="inlineStr">
        <is>
          <t>✓ Match</t>
        </is>
      </c>
      <c r="I54" s="18" t="n"/>
    </row>
    <row r="55" ht="14" customHeight="1">
      <c r="A55" s="7" t="inlineStr">
        <is>
          <t>LED Bulbs (Warm White)</t>
        </is>
      </c>
      <c r="B55" s="6" t="inlineStr">
        <is>
          <t>Electrical Accessories</t>
        </is>
      </c>
      <c r="C55" s="8" t="n">
        <v>30</v>
      </c>
      <c r="D55" s="8" t="n">
        <v>250</v>
      </c>
      <c r="E55" s="8" t="n">
        <v>7500</v>
      </c>
      <c r="F55" s="67" t="inlineStr">
        <is>
          <t>ITM-0030</t>
        </is>
      </c>
      <c r="G55" s="67" t="inlineStr">
        <is>
          <t>LED Bulbs (Warm White)</t>
        </is>
      </c>
      <c r="H55" s="10" t="inlineStr">
        <is>
          <t>✓ Match</t>
        </is>
      </c>
      <c r="I55" s="12" t="n"/>
    </row>
    <row r="56" ht="14" customHeight="1">
      <c r="A56" s="14" t="inlineStr">
        <is>
          <t>Microphone (Wireless)</t>
        </is>
      </c>
      <c r="B56" s="13" t="inlineStr">
        <is>
          <t>Electrical Accessories</t>
        </is>
      </c>
      <c r="C56" s="15" t="n">
        <v>2</v>
      </c>
      <c r="D56" s="15" t="n">
        <v>4500</v>
      </c>
      <c r="E56" s="15" t="n">
        <v>9000</v>
      </c>
      <c r="F56" s="19" t="inlineStr">
        <is>
          <t>ITM-0038</t>
        </is>
      </c>
      <c r="G56" s="19" t="inlineStr">
        <is>
          <t>Microphone (Wireless)</t>
        </is>
      </c>
      <c r="H56" s="10" t="inlineStr">
        <is>
          <t>✓ Match</t>
        </is>
      </c>
      <c r="I56" s="18" t="n"/>
    </row>
    <row r="57" ht="14" customHeight="1">
      <c r="A57" s="7" t="inlineStr">
        <is>
          <t>Multi-plug Adapters</t>
        </is>
      </c>
      <c r="B57" s="6" t="inlineStr">
        <is>
          <t>Electrical Accessories</t>
        </is>
      </c>
      <c r="C57" s="8" t="n">
        <v>10</v>
      </c>
      <c r="D57" s="8" t="n">
        <v>400</v>
      </c>
      <c r="E57" s="8" t="n">
        <v>4000</v>
      </c>
      <c r="F57" s="67" t="inlineStr">
        <is>
          <t>ITM-0032</t>
        </is>
      </c>
      <c r="G57" s="67" t="inlineStr">
        <is>
          <t>Multi-plug Adapters</t>
        </is>
      </c>
      <c r="H57" s="10" t="inlineStr">
        <is>
          <t>✓ Match</t>
        </is>
      </c>
      <c r="I57" s="12" t="n"/>
    </row>
    <row r="58" ht="14" customHeight="1">
      <c r="A58" s="14" t="inlineStr">
        <is>
          <t>Power Strips (Surge)</t>
        </is>
      </c>
      <c r="B58" s="13" t="inlineStr">
        <is>
          <t>Electrical Accessories</t>
        </is>
      </c>
      <c r="C58" s="15" t="n">
        <v>4</v>
      </c>
      <c r="D58" s="15" t="n">
        <v>2000</v>
      </c>
      <c r="E58" s="15" t="n">
        <v>8000</v>
      </c>
      <c r="F58" s="19" t="inlineStr">
        <is>
          <t>ITM-0033</t>
        </is>
      </c>
      <c r="G58" s="19" t="inlineStr">
        <is>
          <t>Power Strips (Surge)</t>
        </is>
      </c>
      <c r="H58" s="10" t="inlineStr">
        <is>
          <t>✓ Match</t>
        </is>
      </c>
      <c r="I58" s="18" t="n"/>
    </row>
    <row r="59" ht="14" customHeight="1">
      <c r="A59" s="7" t="inlineStr">
        <is>
          <t>Decorative Ribbons &amp; Bows</t>
        </is>
      </c>
      <c r="B59" s="6" t="inlineStr">
        <is>
          <t>Event Equipment</t>
        </is>
      </c>
      <c r="C59" s="8" t="n">
        <v>50</v>
      </c>
      <c r="D59" s="8" t="n">
        <v>50</v>
      </c>
      <c r="E59" s="8" t="n">
        <v>2500</v>
      </c>
      <c r="F59" s="67" t="inlineStr">
        <is>
          <t>ITM-0045</t>
        </is>
      </c>
      <c r="G59" s="67" t="inlineStr">
        <is>
          <t>Decorative Ribbons &amp; Bows</t>
        </is>
      </c>
      <c r="H59" s="10" t="inlineStr">
        <is>
          <t>✓ Match</t>
        </is>
      </c>
      <c r="I59" s="12" t="n"/>
    </row>
    <row r="60" ht="14" customHeight="1">
      <c r="A60" s="14" t="inlineStr">
        <is>
          <t>Flower Vases (Glass)</t>
        </is>
      </c>
      <c r="B60" s="13" t="inlineStr">
        <is>
          <t>Event Equipment</t>
        </is>
      </c>
      <c r="C60" s="15" t="n">
        <v>15</v>
      </c>
      <c r="D60" s="15" t="n">
        <v>350</v>
      </c>
      <c r="E60" s="15" t="n">
        <v>5250</v>
      </c>
      <c r="F60" s="19" t="inlineStr">
        <is>
          <t>ITM-0046</t>
        </is>
      </c>
      <c r="G60" s="19" t="inlineStr">
        <is>
          <t>Flower Vases (Glass)</t>
        </is>
      </c>
      <c r="H60" s="10" t="inlineStr">
        <is>
          <t>✓ Match</t>
        </is>
      </c>
      <c r="I60" s="18" t="n"/>
    </row>
    <row r="61" ht="14" customHeight="1">
      <c r="A61" s="7" t="inlineStr">
        <is>
          <t>Plastic Chairs (White)</t>
        </is>
      </c>
      <c r="B61" s="6" t="inlineStr">
        <is>
          <t>Event Equipment</t>
        </is>
      </c>
      <c r="C61" s="8" t="n">
        <v>120</v>
      </c>
      <c r="D61" s="8" t="n">
        <v>800</v>
      </c>
      <c r="E61" s="8" t="n">
        <v>96000</v>
      </c>
      <c r="F61" s="67" t="inlineStr">
        <is>
          <t>ITM-0039</t>
        </is>
      </c>
      <c r="G61" s="67" t="inlineStr">
        <is>
          <t>Plastic Chairs (White)</t>
        </is>
      </c>
      <c r="H61" s="10" t="inlineStr">
        <is>
          <t>✓ Match</t>
        </is>
      </c>
      <c r="I61" s="12" t="n"/>
    </row>
    <row r="62" ht="14" customHeight="1">
      <c r="A62" s="14" t="inlineStr">
        <is>
          <t>Rectangular Tables (6-seater)</t>
        </is>
      </c>
      <c r="B62" s="13" t="inlineStr">
        <is>
          <t>Event Equipment</t>
        </is>
      </c>
      <c r="C62" s="15" t="n">
        <v>4</v>
      </c>
      <c r="D62" s="15" t="n">
        <v>4500</v>
      </c>
      <c r="E62" s="15" t="n">
        <v>18000</v>
      </c>
      <c r="F62" s="19" t="inlineStr">
        <is>
          <t>ITM-0041</t>
        </is>
      </c>
      <c r="G62" s="19" t="inlineStr">
        <is>
          <t>Rectangular Tables (6-seater)</t>
        </is>
      </c>
      <c r="H62" s="10" t="inlineStr">
        <is>
          <t>✓ Match</t>
        </is>
      </c>
      <c r="I62" s="18" t="n"/>
    </row>
    <row r="63" ht="14" customHeight="1">
      <c r="A63" s="7" t="inlineStr">
        <is>
          <t>Round Tables (8-seater)</t>
        </is>
      </c>
      <c r="B63" s="6" t="inlineStr">
        <is>
          <t>Event Equipment</t>
        </is>
      </c>
      <c r="C63" s="8" t="n">
        <v>13</v>
      </c>
      <c r="D63" s="8" t="n">
        <v>6000</v>
      </c>
      <c r="E63" s="8" t="n">
        <v>78000</v>
      </c>
      <c r="F63" s="67" t="inlineStr">
        <is>
          <t>ITM-0040</t>
        </is>
      </c>
      <c r="G63" s="67" t="inlineStr">
        <is>
          <t>Round Tables (8-seater)</t>
        </is>
      </c>
      <c r="H63" s="10" t="inlineStr">
        <is>
          <t>✓ Match</t>
        </is>
      </c>
      <c r="I63" s="12" t="n"/>
    </row>
    <row r="64" ht="14" customHeight="1">
      <c r="A64" s="14" t="inlineStr">
        <is>
          <t>Table Covers (Rectangular)</t>
        </is>
      </c>
      <c r="B64" s="13" t="inlineStr">
        <is>
          <t>Event Equipment</t>
        </is>
      </c>
      <c r="C64" s="15" t="n">
        <v>6</v>
      </c>
      <c r="D64" s="15" t="n">
        <v>700</v>
      </c>
      <c r="E64" s="15" t="n">
        <v>4200</v>
      </c>
      <c r="F64" s="19" t="inlineStr">
        <is>
          <t>ITM-0044</t>
        </is>
      </c>
      <c r="G64" s="19" t="inlineStr">
        <is>
          <t>Table Covers (Rectangular)</t>
        </is>
      </c>
      <c r="H64" s="10" t="inlineStr">
        <is>
          <t>✓ Match</t>
        </is>
      </c>
      <c r="I64" s="18" t="n"/>
    </row>
    <row r="65" ht="14" customHeight="1">
      <c r="A65" s="7" t="inlineStr">
        <is>
          <t>Table Covers (Round)</t>
        </is>
      </c>
      <c r="B65" s="6" t="inlineStr">
        <is>
          <t>Event Equipment</t>
        </is>
      </c>
      <c r="C65" s="8" t="n">
        <v>15</v>
      </c>
      <c r="D65" s="8" t="n">
        <v>800</v>
      </c>
      <c r="E65" s="8" t="n">
        <v>12000</v>
      </c>
      <c r="F65" s="67" t="inlineStr">
        <is>
          <t>ITM-0043</t>
        </is>
      </c>
      <c r="G65" s="67" t="inlineStr">
        <is>
          <t>Table Covers (Round)</t>
        </is>
      </c>
      <c r="H65" s="10" t="inlineStr">
        <is>
          <t>✓ Match</t>
        </is>
      </c>
      <c r="I65" s="12" t="n"/>
    </row>
    <row r="66" ht="14" customHeight="1">
      <c r="A66" s="14" t="inlineStr">
        <is>
          <t>Tent/Canopy (5x5m)</t>
        </is>
      </c>
      <c r="B66" s="13" t="inlineStr">
        <is>
          <t>Event Equipment</t>
        </is>
      </c>
      <c r="C66" s="15" t="n">
        <v>2</v>
      </c>
      <c r="D66" s="15" t="n">
        <v>25000</v>
      </c>
      <c r="E66" s="15" t="n">
        <v>50000</v>
      </c>
      <c r="F66" s="19" t="inlineStr">
        <is>
          <t>ITM-0042</t>
        </is>
      </c>
      <c r="G66" s="19" t="inlineStr">
        <is>
          <t>Tent/Canopy (5x5m)</t>
        </is>
      </c>
      <c r="H66" s="10" t="inlineStr">
        <is>
          <t>✓ Match</t>
        </is>
      </c>
      <c r="I66" s="18" t="n"/>
    </row>
    <row r="67" ht="14" customHeight="1">
      <c r="A67" s="7" t="inlineStr">
        <is>
          <t>Welcome Banner Stand</t>
        </is>
      </c>
      <c r="B67" s="6" t="inlineStr">
        <is>
          <t>Event Equipment</t>
        </is>
      </c>
      <c r="C67" s="8" t="n">
        <v>2</v>
      </c>
      <c r="D67" s="8" t="n">
        <v>3500</v>
      </c>
      <c r="E67" s="8" t="n">
        <v>7000</v>
      </c>
      <c r="F67" s="67" t="inlineStr">
        <is>
          <t>ITM-0047</t>
        </is>
      </c>
      <c r="G67" s="67" t="inlineStr">
        <is>
          <t>Welcome Banner Stand</t>
        </is>
      </c>
      <c r="H67" s="10" t="inlineStr">
        <is>
          <t>✓ Match</t>
        </is>
      </c>
      <c r="I67" s="12" t="n"/>
    </row>
    <row r="68" ht="14" customHeight="1">
      <c r="A68" s="14" t="inlineStr">
        <is>
          <t>Bookshelf/Display Stand</t>
        </is>
      </c>
      <c r="B68" s="13" t="inlineStr">
        <is>
          <t>Furniture</t>
        </is>
      </c>
      <c r="C68" s="15" t="n">
        <v>2</v>
      </c>
      <c r="D68" s="15" t="n">
        <v>6000</v>
      </c>
      <c r="E68" s="15" t="n">
        <v>12000</v>
      </c>
      <c r="F68" s="19" t="inlineStr">
        <is>
          <t>ITM-0060</t>
        </is>
      </c>
      <c r="G68" s="19" t="inlineStr">
        <is>
          <t>Bookshelf/Display Stand</t>
        </is>
      </c>
      <c r="H68" s="10" t="inlineStr">
        <is>
          <t>✓ Match</t>
        </is>
      </c>
      <c r="I68" s="18" t="n"/>
    </row>
    <row r="69" ht="14" customHeight="1">
      <c r="A69" s="7" t="inlineStr">
        <is>
          <t>Outdoor Coffee Tables</t>
        </is>
      </c>
      <c r="B69" s="6" t="inlineStr">
        <is>
          <t>Furniture</t>
        </is>
      </c>
      <c r="C69" s="8" t="n">
        <v>3</v>
      </c>
      <c r="D69" s="8" t="n">
        <v>4000</v>
      </c>
      <c r="E69" s="8" t="n">
        <v>12000</v>
      </c>
      <c r="F69" s="67" t="inlineStr">
        <is>
          <t>ITM-0059</t>
        </is>
      </c>
      <c r="G69" s="67" t="inlineStr">
        <is>
          <t>Outdoor Coffee Tables</t>
        </is>
      </c>
      <c r="H69" s="10" t="inlineStr">
        <is>
          <t>✓ Match</t>
        </is>
      </c>
      <c r="I69" s="12" t="n"/>
    </row>
    <row r="70" ht="14" customHeight="1">
      <c r="A70" s="14" t="inlineStr">
        <is>
          <t>Outdoor Lounge Chairs</t>
        </is>
      </c>
      <c r="B70" s="13" t="inlineStr">
        <is>
          <t>Furniture</t>
        </is>
      </c>
      <c r="C70" s="15" t="n">
        <v>6</v>
      </c>
      <c r="D70" s="15" t="n">
        <v>8000</v>
      </c>
      <c r="E70" s="15" t="n">
        <v>48000</v>
      </c>
      <c r="F70" s="19" t="inlineStr">
        <is>
          <t>ITM-0058</t>
        </is>
      </c>
      <c r="G70" s="19" t="inlineStr">
        <is>
          <t>Outdoor Lounge Chairs</t>
        </is>
      </c>
      <c r="H70" s="10" t="inlineStr">
        <is>
          <t>✓ Match</t>
        </is>
      </c>
      <c r="I70" s="18" t="n"/>
    </row>
    <row r="71" ht="14" customHeight="1">
      <c r="A71" s="7" t="inlineStr">
        <is>
          <t>Side Tables</t>
        </is>
      </c>
      <c r="B71" s="6" t="inlineStr">
        <is>
          <t>Furniture</t>
        </is>
      </c>
      <c r="C71" s="8" t="n">
        <v>4</v>
      </c>
      <c r="D71" s="8" t="n">
        <v>3000</v>
      </c>
      <c r="E71" s="8" t="n">
        <v>12000</v>
      </c>
      <c r="F71" s="67" t="inlineStr">
        <is>
          <t>ITM-0061</t>
        </is>
      </c>
      <c r="G71" s="67" t="inlineStr">
        <is>
          <t>Side Tables</t>
        </is>
      </c>
      <c r="H71" s="10" t="inlineStr">
        <is>
          <t>✓ Match</t>
        </is>
      </c>
      <c r="I71" s="12" t="n"/>
    </row>
    <row r="72" ht="14" customHeight="1">
      <c r="A72" s="14" t="inlineStr">
        <is>
          <t>Garden Hose (30m)</t>
        </is>
      </c>
      <c r="B72" s="13" t="inlineStr">
        <is>
          <t>Garden Tools</t>
        </is>
      </c>
      <c r="C72" s="15" t="n">
        <v>2</v>
      </c>
      <c r="D72" s="15" t="n">
        <v>3000</v>
      </c>
      <c r="E72" s="15" t="n">
        <v>6000</v>
      </c>
      <c r="F72" s="19" t="inlineStr">
        <is>
          <t>ITM-0063</t>
        </is>
      </c>
      <c r="G72" s="19" t="inlineStr">
        <is>
          <t>Garden Hose (30m)</t>
        </is>
      </c>
      <c r="H72" s="10" t="inlineStr">
        <is>
          <t>✓ Match</t>
        </is>
      </c>
      <c r="I72" s="18" t="n"/>
    </row>
    <row r="73" ht="14" customHeight="1">
      <c r="A73" s="7" t="inlineStr">
        <is>
          <t>Lawn Mower</t>
        </is>
      </c>
      <c r="B73" s="6" t="inlineStr">
        <is>
          <t>Garden Tools</t>
        </is>
      </c>
      <c r="C73" s="8" t="n">
        <v>1</v>
      </c>
      <c r="D73" s="8" t="n">
        <v>35000</v>
      </c>
      <c r="E73" s="8" t="n">
        <v>35000</v>
      </c>
      <c r="F73" s="67" t="inlineStr">
        <is>
          <t>ITM-0067</t>
        </is>
      </c>
      <c r="G73" s="67" t="inlineStr">
        <is>
          <t>Lawn Mower</t>
        </is>
      </c>
      <c r="H73" s="10" t="inlineStr">
        <is>
          <t>✓ Match</t>
        </is>
      </c>
      <c r="I73" s="12" t="n"/>
    </row>
    <row r="74" ht="14" customHeight="1">
      <c r="A74" s="14" t="inlineStr">
        <is>
          <t>Machetes (Pangas)</t>
        </is>
      </c>
      <c r="B74" s="13" t="inlineStr">
        <is>
          <t>Garden Tools</t>
        </is>
      </c>
      <c r="C74" s="15" t="n">
        <v>3</v>
      </c>
      <c r="D74" s="15" t="n">
        <v>400</v>
      </c>
      <c r="E74" s="15" t="n">
        <v>1200</v>
      </c>
      <c r="F74" s="19" t="inlineStr">
        <is>
          <t>ITM-0065</t>
        </is>
      </c>
      <c r="G74" s="19" t="inlineStr">
        <is>
          <t>Machetes (Pangas)</t>
        </is>
      </c>
      <c r="H74" s="10" t="inlineStr">
        <is>
          <t>✓ Match</t>
        </is>
      </c>
      <c r="I74" s="18" t="n"/>
    </row>
    <row r="75" ht="14" customHeight="1">
      <c r="A75" s="7" t="inlineStr">
        <is>
          <t>Pruning Shears</t>
        </is>
      </c>
      <c r="B75" s="6" t="inlineStr">
        <is>
          <t>Garden Tools</t>
        </is>
      </c>
      <c r="C75" s="8" t="n">
        <v>2</v>
      </c>
      <c r="D75" s="8" t="n">
        <v>800</v>
      </c>
      <c r="E75" s="8" t="n">
        <v>1600</v>
      </c>
      <c r="F75" s="67" t="inlineStr">
        <is>
          <t>ITM-0066</t>
        </is>
      </c>
      <c r="G75" s="67" t="inlineStr">
        <is>
          <t>Pruning Shears</t>
        </is>
      </c>
      <c r="H75" s="10" t="inlineStr">
        <is>
          <t>✓ Match</t>
        </is>
      </c>
      <c r="I75" s="12" t="n"/>
    </row>
    <row r="76" ht="14" customHeight="1">
      <c r="A76" s="14" t="inlineStr">
        <is>
          <t>Rakes</t>
        </is>
      </c>
      <c r="B76" s="13" t="inlineStr">
        <is>
          <t>Garden Tools</t>
        </is>
      </c>
      <c r="C76" s="15" t="n">
        <v>3</v>
      </c>
      <c r="D76" s="15" t="n">
        <v>600</v>
      </c>
      <c r="E76" s="15" t="n">
        <v>1800</v>
      </c>
      <c r="F76" s="19" t="inlineStr">
        <is>
          <t>ITM-0064</t>
        </is>
      </c>
      <c r="G76" s="19" t="inlineStr">
        <is>
          <t>Rakes</t>
        </is>
      </c>
      <c r="H76" s="10" t="inlineStr">
        <is>
          <t>✓ Match</t>
        </is>
      </c>
      <c r="I76" s="18" t="n"/>
    </row>
    <row r="77" ht="14" customHeight="1">
      <c r="A77" s="7" t="inlineStr">
        <is>
          <t>Spade</t>
        </is>
      </c>
      <c r="B77" s="6" t="inlineStr">
        <is>
          <t>Garden Tools</t>
        </is>
      </c>
      <c r="C77" s="8" t="n">
        <v>2</v>
      </c>
      <c r="D77" s="8" t="n">
        <v>800</v>
      </c>
      <c r="E77" s="8" t="n">
        <v>1600</v>
      </c>
      <c r="F77" s="67" t="inlineStr">
        <is>
          <t>ITM-0068</t>
        </is>
      </c>
      <c r="G77" s="67" t="inlineStr">
        <is>
          <t>Spade</t>
        </is>
      </c>
      <c r="H77" s="10" t="inlineStr">
        <is>
          <t>✓ Match</t>
        </is>
      </c>
      <c r="I77" s="12" t="n"/>
    </row>
    <row r="78" ht="14" customHeight="1">
      <c r="A78" s="14" t="inlineStr">
        <is>
          <t>Watering Cans (10L)</t>
        </is>
      </c>
      <c r="B78" s="13" t="inlineStr">
        <is>
          <t>Garden Tools</t>
        </is>
      </c>
      <c r="C78" s="15" t="n">
        <v>3</v>
      </c>
      <c r="D78" s="15" t="n">
        <v>500</v>
      </c>
      <c r="E78" s="15" t="n">
        <v>1500</v>
      </c>
      <c r="F78" s="19" t="inlineStr">
        <is>
          <t>ITM-0069</t>
        </is>
      </c>
      <c r="G78" s="19" t="inlineStr">
        <is>
          <t>Watering Cans (10L)</t>
        </is>
      </c>
      <c r="H78" s="10" t="inlineStr">
        <is>
          <t>✓ Match</t>
        </is>
      </c>
      <c r="I78" s="18" t="n"/>
    </row>
    <row r="79" ht="14" customHeight="1">
      <c r="A79" s="7" t="inlineStr">
        <is>
          <t>Wheelbarrow</t>
        </is>
      </c>
      <c r="B79" s="6" t="inlineStr">
        <is>
          <t>Garden Tools</t>
        </is>
      </c>
      <c r="C79" s="8" t="n">
        <v>2</v>
      </c>
      <c r="D79" s="8" t="n">
        <v>4500</v>
      </c>
      <c r="E79" s="8" t="n">
        <v>9000</v>
      </c>
      <c r="F79" s="67" t="inlineStr">
        <is>
          <t>ITM-0062</t>
        </is>
      </c>
      <c r="G79" s="67" t="inlineStr">
        <is>
          <t>Wheelbarrow</t>
        </is>
      </c>
      <c r="H79" s="10" t="inlineStr">
        <is>
          <t>✓ Match</t>
        </is>
      </c>
      <c r="I79" s="12" t="n"/>
    </row>
    <row r="80" ht="14" customHeight="1">
      <c r="A80" s="14" t="inlineStr">
        <is>
          <t>Blender</t>
        </is>
      </c>
      <c r="B80" s="13" t="inlineStr">
        <is>
          <t>Kitchen</t>
        </is>
      </c>
      <c r="C80" s="15" t="n">
        <v>1</v>
      </c>
      <c r="D80" s="15" t="n">
        <v>5500</v>
      </c>
      <c r="E80" s="15" t="n">
        <v>5500</v>
      </c>
      <c r="F80" s="19" t="inlineStr">
        <is>
          <t>ITM-0008</t>
        </is>
      </c>
      <c r="G80" s="19" t="inlineStr">
        <is>
          <t>Blender</t>
        </is>
      </c>
      <c r="H80" s="10" t="inlineStr">
        <is>
          <t>✓ Match</t>
        </is>
      </c>
      <c r="I80" s="18" t="n"/>
    </row>
    <row r="81" ht="14" customHeight="1">
      <c r="A81" s="7" t="inlineStr">
        <is>
          <t>Chopping Boards</t>
        </is>
      </c>
      <c r="B81" s="6" t="inlineStr">
        <is>
          <t>Kitchen</t>
        </is>
      </c>
      <c r="C81" s="8" t="n">
        <v>4</v>
      </c>
      <c r="D81" s="8" t="n">
        <v>600</v>
      </c>
      <c r="E81" s="8" t="n">
        <v>2400</v>
      </c>
      <c r="F81" s="67" t="inlineStr">
        <is>
          <t>ITM-0007</t>
        </is>
      </c>
      <c r="G81" s="67" t="inlineStr">
        <is>
          <t>Chopping Boards</t>
        </is>
      </c>
      <c r="H81" s="10" t="inlineStr">
        <is>
          <t>✓ Match</t>
        </is>
      </c>
      <c r="I81" s="12" t="n"/>
    </row>
    <row r="82" ht="14" customHeight="1">
      <c r="A82" s="14" t="inlineStr">
        <is>
          <t>Cooking Pot (Large)</t>
        </is>
      </c>
      <c r="B82" s="13" t="inlineStr">
        <is>
          <t>Kitchen</t>
        </is>
      </c>
      <c r="C82" s="15" t="n">
        <v>4</v>
      </c>
      <c r="D82" s="15" t="n">
        <v>3500</v>
      </c>
      <c r="E82" s="15" t="n">
        <v>14000</v>
      </c>
      <c r="F82" s="19" t="inlineStr">
        <is>
          <t>ITM-0001</t>
        </is>
      </c>
      <c r="G82" s="19" t="inlineStr">
        <is>
          <t>Cooking Pot (Large)</t>
        </is>
      </c>
      <c r="H82" s="10" t="inlineStr">
        <is>
          <t>✓ Match</t>
        </is>
      </c>
      <c r="I82" s="18" t="n"/>
    </row>
    <row r="83" ht="14" customHeight="1">
      <c r="A83" s="7" t="inlineStr">
        <is>
          <t>Cooking Pot (Medium)</t>
        </is>
      </c>
      <c r="B83" s="6" t="inlineStr">
        <is>
          <t>Kitchen</t>
        </is>
      </c>
      <c r="C83" s="8" t="n">
        <v>3</v>
      </c>
      <c r="D83" s="8" t="n">
        <v>2000</v>
      </c>
      <c r="E83" s="8" t="n">
        <v>6000</v>
      </c>
      <c r="F83" s="67" t="inlineStr">
        <is>
          <t>ITM-0002</t>
        </is>
      </c>
      <c r="G83" s="67" t="inlineStr">
        <is>
          <t>Cooking Pot (Medium)</t>
        </is>
      </c>
      <c r="H83" s="10" t="inlineStr">
        <is>
          <t>✓ Match</t>
        </is>
      </c>
      <c r="I83" s="12" t="n"/>
    </row>
    <row r="84" ht="14" customHeight="1">
      <c r="A84" s="14" t="inlineStr">
        <is>
          <t>Electric Kettle</t>
        </is>
      </c>
      <c r="B84" s="13" t="inlineStr">
        <is>
          <t>Kitchen</t>
        </is>
      </c>
      <c r="C84" s="15" t="n">
        <v>2</v>
      </c>
      <c r="D84" s="15" t="n">
        <v>2500</v>
      </c>
      <c r="E84" s="15" t="n">
        <v>5000</v>
      </c>
      <c r="F84" s="19" t="inlineStr">
        <is>
          <t>ITM-0010</t>
        </is>
      </c>
      <c r="G84" s="19" t="inlineStr">
        <is>
          <t>Electric Kettle</t>
        </is>
      </c>
      <c r="H84" s="10" t="inlineStr">
        <is>
          <t>✓ Match</t>
        </is>
      </c>
      <c r="I84" s="18" t="n"/>
    </row>
    <row r="85" ht="14" customHeight="1">
      <c r="A85" s="7" t="inlineStr">
        <is>
          <t>Frying Pan (Large)</t>
        </is>
      </c>
      <c r="B85" s="6" t="inlineStr">
        <is>
          <t>Kitchen</t>
        </is>
      </c>
      <c r="C85" s="8" t="n">
        <v>3</v>
      </c>
      <c r="D85" s="8" t="n">
        <v>1500</v>
      </c>
      <c r="E85" s="8" t="n">
        <v>4500</v>
      </c>
      <c r="F85" s="67" t="inlineStr">
        <is>
          <t>ITM-0003</t>
        </is>
      </c>
      <c r="G85" s="67" t="inlineStr">
        <is>
          <t>Frying Pan (Large)</t>
        </is>
      </c>
      <c r="H85" s="10" t="inlineStr">
        <is>
          <t>✓ Match</t>
        </is>
      </c>
      <c r="I85" s="12" t="n"/>
    </row>
    <row r="86" ht="14" customHeight="1">
      <c r="A86" s="14" t="inlineStr">
        <is>
          <t>Frying Pan (Small)</t>
        </is>
      </c>
      <c r="B86" s="13" t="inlineStr">
        <is>
          <t>Kitchen</t>
        </is>
      </c>
      <c r="C86" s="15" t="n">
        <v>2</v>
      </c>
      <c r="D86" s="15" t="n">
        <v>800</v>
      </c>
      <c r="E86" s="15" t="n">
        <v>1600</v>
      </c>
      <c r="F86" s="19" t="inlineStr">
        <is>
          <t>ITM-0004</t>
        </is>
      </c>
      <c r="G86" s="19" t="inlineStr">
        <is>
          <t>Frying Pan (Small)</t>
        </is>
      </c>
      <c r="H86" s="10" t="inlineStr">
        <is>
          <t>✓ Match</t>
        </is>
      </c>
      <c r="I86" s="18" t="n"/>
    </row>
    <row r="87" ht="14" customHeight="1">
      <c r="A87" s="7" t="inlineStr">
        <is>
          <t>Kitchen Knives Set</t>
        </is>
      </c>
      <c r="B87" s="6" t="inlineStr">
        <is>
          <t>Kitchen</t>
        </is>
      </c>
      <c r="C87" s="8" t="n">
        <v>2</v>
      </c>
      <c r="D87" s="8" t="n">
        <v>2500</v>
      </c>
      <c r="E87" s="8" t="n">
        <v>5000</v>
      </c>
      <c r="F87" s="67" t="inlineStr">
        <is>
          <t>ITM-0006</t>
        </is>
      </c>
      <c r="G87" s="67" t="inlineStr">
        <is>
          <t>Kitchen Knives Set</t>
        </is>
      </c>
      <c r="H87" s="10" t="inlineStr">
        <is>
          <t>✓ Match</t>
        </is>
      </c>
      <c r="I87" s="12" t="n"/>
    </row>
    <row r="88" ht="14" customHeight="1">
      <c r="A88" s="14" t="inlineStr">
        <is>
          <t>Microwave</t>
        </is>
      </c>
      <c r="B88" s="13" t="inlineStr">
        <is>
          <t>Kitchen</t>
        </is>
      </c>
      <c r="C88" s="15" t="n">
        <v>1</v>
      </c>
      <c r="D88" s="15" t="n">
        <v>12000</v>
      </c>
      <c r="E88" s="15" t="n">
        <v>12000</v>
      </c>
      <c r="F88" s="19" t="inlineStr">
        <is>
          <t>ITM-0009</t>
        </is>
      </c>
      <c r="G88" s="19" t="inlineStr">
        <is>
          <t>Microwave</t>
        </is>
      </c>
      <c r="H88" s="10" t="inlineStr">
        <is>
          <t>✓ Match</t>
        </is>
      </c>
      <c r="I88" s="18" t="n"/>
    </row>
    <row r="89" ht="14" customHeight="1">
      <c r="A89" s="7" t="inlineStr">
        <is>
          <t>Serving Spoons (Large)</t>
        </is>
      </c>
      <c r="B89" s="6" t="inlineStr">
        <is>
          <t>Kitchen</t>
        </is>
      </c>
      <c r="C89" s="8" t="n">
        <v>10</v>
      </c>
      <c r="D89" s="8" t="n">
        <v>200</v>
      </c>
      <c r="E89" s="8" t="n">
        <v>2000</v>
      </c>
      <c r="F89" s="67" t="inlineStr">
        <is>
          <t>ITM-0005</t>
        </is>
      </c>
      <c r="G89" s="67" t="inlineStr">
        <is>
          <t>Serving Spoons (Large)</t>
        </is>
      </c>
      <c r="H89" s="10" t="inlineStr">
        <is>
          <t>✓ Match</t>
        </is>
      </c>
      <c r="I89" s="12" t="n"/>
    </row>
    <row r="90" ht="14" customHeight="1">
      <c r="A90" s="14" t="inlineStr">
        <is>
          <t>Thermos Flask (Large)</t>
        </is>
      </c>
      <c r="B90" s="13" t="inlineStr">
        <is>
          <t>Kitchen</t>
        </is>
      </c>
      <c r="C90" s="15" t="n">
        <v>3</v>
      </c>
      <c r="D90" s="15" t="n">
        <v>3000</v>
      </c>
      <c r="E90" s="15" t="n">
        <v>9000</v>
      </c>
      <c r="F90" s="19" t="inlineStr">
        <is>
          <t>ITM-0011</t>
        </is>
      </c>
      <c r="G90" s="19" t="inlineStr">
        <is>
          <t>Thermos Flask (Large)</t>
        </is>
      </c>
      <c r="H90" s="10" t="inlineStr">
        <is>
          <t>✓ Match</t>
        </is>
      </c>
      <c r="I90" s="18" t="n"/>
    </row>
    <row r="91" ht="14" customHeight="1">
      <c r="A91" s="7" t="inlineStr">
        <is>
          <t>Water Dispenser</t>
        </is>
      </c>
      <c r="B91" s="6" t="inlineStr">
        <is>
          <t>Kitchen</t>
        </is>
      </c>
      <c r="C91" s="8" t="n">
        <v>1</v>
      </c>
      <c r="D91" s="8" t="n">
        <v>8000</v>
      </c>
      <c r="E91" s="8" t="n">
        <v>8000</v>
      </c>
      <c r="F91" s="67" t="inlineStr">
        <is>
          <t>ITM-0012</t>
        </is>
      </c>
      <c r="G91" s="67" t="inlineStr">
        <is>
          <t>Water Dispenser</t>
        </is>
      </c>
      <c r="H91" s="10" t="inlineStr">
        <is>
          <t>✓ Match</t>
        </is>
      </c>
      <c r="I91" s="12" t="n"/>
    </row>
    <row r="92" ht="14" customHeight="1">
      <c r="A92" s="14" t="inlineStr">
        <is>
          <t>Bath Towels (Large)</t>
        </is>
      </c>
      <c r="B92" s="13" t="inlineStr">
        <is>
          <t>Linens &amp; Fabrics</t>
        </is>
      </c>
      <c r="C92" s="15" t="n">
        <v>10</v>
      </c>
      <c r="D92" s="15" t="n">
        <v>800</v>
      </c>
      <c r="E92" s="15" t="n">
        <v>8000</v>
      </c>
      <c r="F92" s="19" t="inlineStr">
        <is>
          <t>ITM-0055</t>
        </is>
      </c>
      <c r="G92" s="19" t="inlineStr">
        <is>
          <t>Bath Towels (Large)</t>
        </is>
      </c>
      <c r="H92" s="10" t="inlineStr">
        <is>
          <t>✓ Match</t>
        </is>
      </c>
      <c r="I92" s="18" t="n"/>
    </row>
    <row r="93" ht="14" customHeight="1">
      <c r="A93" s="7" t="inlineStr">
        <is>
          <t>Bedsheets (Double)</t>
        </is>
      </c>
      <c r="B93" s="6" t="inlineStr">
        <is>
          <t>Linens &amp; Fabrics</t>
        </is>
      </c>
      <c r="C93" s="8" t="n">
        <v>6</v>
      </c>
      <c r="D93" s="8" t="n">
        <v>2500</v>
      </c>
      <c r="E93" s="8" t="n">
        <v>15000</v>
      </c>
      <c r="F93" s="67" t="inlineStr">
        <is>
          <t>ITM-0054</t>
        </is>
      </c>
      <c r="G93" s="67" t="inlineStr">
        <is>
          <t>Bedsheets (Double)</t>
        </is>
      </c>
      <c r="H93" s="10" t="inlineStr">
        <is>
          <t>✓ Match</t>
        </is>
      </c>
      <c r="I93" s="12" t="n"/>
    </row>
    <row r="94" ht="14" customHeight="1">
      <c r="A94" s="14" t="inlineStr">
        <is>
          <t>Chair Sashes</t>
        </is>
      </c>
      <c r="B94" s="13" t="inlineStr">
        <is>
          <t>Linens &amp; Fabrics</t>
        </is>
      </c>
      <c r="C94" s="15" t="n">
        <v>120</v>
      </c>
      <c r="D94" s="15" t="n">
        <v>80</v>
      </c>
      <c r="E94" s="15" t="n">
        <v>9600</v>
      </c>
      <c r="F94" s="19" t="inlineStr">
        <is>
          <t>ITM-0053</t>
        </is>
      </c>
      <c r="G94" s="19" t="inlineStr">
        <is>
          <t>Chair Sashes</t>
        </is>
      </c>
      <c r="H94" s="10" t="inlineStr">
        <is>
          <t>✓ Match</t>
        </is>
      </c>
      <c r="I94" s="18" t="n"/>
    </row>
    <row r="95" ht="14" customHeight="1">
      <c r="A95" s="7" t="inlineStr">
        <is>
          <t>Chair Seat Covers (White)</t>
        </is>
      </c>
      <c r="B95" s="6" t="inlineStr">
        <is>
          <t>Linens &amp; Fabrics</t>
        </is>
      </c>
      <c r="C95" s="8" t="n">
        <v>120</v>
      </c>
      <c r="D95" s="8" t="n">
        <v>350</v>
      </c>
      <c r="E95" s="8" t="n">
        <v>42000</v>
      </c>
      <c r="F95" s="67" t="inlineStr">
        <is>
          <t>ITM-0052</t>
        </is>
      </c>
      <c r="G95" s="67" t="inlineStr">
        <is>
          <t>Chair Seat Covers (White)</t>
        </is>
      </c>
      <c r="H95" s="10" t="inlineStr">
        <is>
          <t>✓ Match</t>
        </is>
      </c>
      <c r="I95" s="12" t="n"/>
    </row>
    <row r="96" ht="14" customHeight="1">
      <c r="A96" s="14" t="inlineStr">
        <is>
          <t>Cloth Napkins (Coloured)</t>
        </is>
      </c>
      <c r="B96" s="13" t="inlineStr">
        <is>
          <t>Linens &amp; Fabrics</t>
        </is>
      </c>
      <c r="C96" s="15" t="n">
        <v>60</v>
      </c>
      <c r="D96" s="15" t="n">
        <v>120</v>
      </c>
      <c r="E96" s="15" t="n">
        <v>7200</v>
      </c>
      <c r="F96" s="19" t="inlineStr">
        <is>
          <t>ITM-0051</t>
        </is>
      </c>
      <c r="G96" s="19" t="inlineStr">
        <is>
          <t>Cloth Napkins (Coloured)</t>
        </is>
      </c>
      <c r="H96" s="10" t="inlineStr">
        <is>
          <t>✓ Match</t>
        </is>
      </c>
      <c r="I96" s="18" t="n"/>
    </row>
    <row r="97" ht="14" customHeight="1">
      <c r="A97" s="7" t="inlineStr">
        <is>
          <t>Cloth Napkins (White)</t>
        </is>
      </c>
      <c r="B97" s="6" t="inlineStr">
        <is>
          <t>Linens &amp; Fabrics</t>
        </is>
      </c>
      <c r="C97" s="8" t="n">
        <v>120</v>
      </c>
      <c r="D97" s="8" t="n">
        <v>100</v>
      </c>
      <c r="E97" s="8" t="n">
        <v>12000</v>
      </c>
      <c r="F97" s="67" t="inlineStr">
        <is>
          <t>ITM-0050</t>
        </is>
      </c>
      <c r="G97" s="67" t="inlineStr">
        <is>
          <t>Cloth Napkins (White)</t>
        </is>
      </c>
      <c r="H97" s="10" t="inlineStr">
        <is>
          <t>✓ Match</t>
        </is>
      </c>
      <c r="I97" s="12" t="n"/>
    </row>
    <row r="98" ht="14" customHeight="1">
      <c r="A98" s="14" t="inlineStr">
        <is>
          <t>Coloured Tablecloths</t>
        </is>
      </c>
      <c r="B98" s="13" t="inlineStr">
        <is>
          <t>Linens &amp; Fabrics</t>
        </is>
      </c>
      <c r="C98" s="15" t="n">
        <v>10</v>
      </c>
      <c r="D98" s="15" t="n">
        <v>1200</v>
      </c>
      <c r="E98" s="15" t="n">
        <v>12000</v>
      </c>
      <c r="F98" s="19" t="inlineStr">
        <is>
          <t>ITM-0049</t>
        </is>
      </c>
      <c r="G98" s="19" t="inlineStr">
        <is>
          <t>Coloured Tablecloths</t>
        </is>
      </c>
      <c r="H98" s="10" t="inlineStr">
        <is>
          <t>✓ Match</t>
        </is>
      </c>
      <c r="I98" s="18" t="n"/>
    </row>
    <row r="99" ht="14" customHeight="1">
      <c r="A99" s="7" t="inlineStr">
        <is>
          <t>Curtains (Main House)</t>
        </is>
      </c>
      <c r="B99" s="6" t="inlineStr">
        <is>
          <t>Linens &amp; Fabrics</t>
        </is>
      </c>
      <c r="C99" s="8" t="n">
        <v>12</v>
      </c>
      <c r="D99" s="8" t="n">
        <v>2000</v>
      </c>
      <c r="E99" s="8" t="n">
        <v>24000</v>
      </c>
      <c r="F99" s="67" t="inlineStr">
        <is>
          <t>ITM-0057</t>
        </is>
      </c>
      <c r="G99" s="67" t="inlineStr">
        <is>
          <t>Curtains (Main House)</t>
        </is>
      </c>
      <c r="H99" s="10" t="inlineStr">
        <is>
          <t>✓ Match</t>
        </is>
      </c>
      <c r="I99" s="12" t="n"/>
    </row>
    <row r="100" ht="14" customHeight="1">
      <c r="A100" s="14" t="inlineStr">
        <is>
          <t>Kitchen Towels</t>
        </is>
      </c>
      <c r="B100" s="13" t="inlineStr">
        <is>
          <t>Linens &amp; Fabrics</t>
        </is>
      </c>
      <c r="C100" s="15" t="n">
        <v>6</v>
      </c>
      <c r="D100" s="15" t="n">
        <v>500</v>
      </c>
      <c r="E100" s="15" t="n">
        <v>3000</v>
      </c>
      <c r="F100" s="19" t="inlineStr">
        <is>
          <t>ITM-0056</t>
        </is>
      </c>
      <c r="G100" s="19" t="inlineStr">
        <is>
          <t>Kitchen Towels</t>
        </is>
      </c>
      <c r="H100" s="10" t="inlineStr">
        <is>
          <t>✓ Match</t>
        </is>
      </c>
      <c r="I100" s="18" t="n"/>
    </row>
    <row r="101" ht="14" customHeight="1">
      <c r="A101" s="7" t="inlineStr">
        <is>
          <t>White Tablecloths</t>
        </is>
      </c>
      <c r="B101" s="6" t="inlineStr">
        <is>
          <t>Linens &amp; Fabrics</t>
        </is>
      </c>
      <c r="C101" s="8" t="n">
        <v>20</v>
      </c>
      <c r="D101" s="8" t="n">
        <v>1200</v>
      </c>
      <c r="E101" s="8" t="n">
        <v>24000</v>
      </c>
      <c r="F101" s="67" t="inlineStr">
        <is>
          <t>ITM-0048</t>
        </is>
      </c>
      <c r="G101" s="67" t="inlineStr">
        <is>
          <t>White Tablecloths</t>
        </is>
      </c>
      <c r="H101" s="10" t="inlineStr">
        <is>
          <t>✓ Match</t>
        </is>
      </c>
      <c r="I101" s="12" t="n"/>
    </row>
  </sheetData>
  <mergeCells count="5">
    <mergeCell ref="A15:I15"/>
    <mergeCell ref="A2:I2"/>
    <mergeCell ref="A1:I1"/>
    <mergeCell ref="A23:I23"/>
    <mergeCell ref="A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0" customWidth="1" min="3" max="3"/>
    <col width="16" customWidth="1" min="4" max="4"/>
    <col width="16" customWidth="1" min="5" max="5"/>
    <col width="20" customWidth="1" min="6" max="6"/>
    <col width="16" customWidth="1" min="7" max="7"/>
    <col width="12" customWidth="1" min="8" max="8"/>
  </cols>
  <sheetData>
    <row r="1" ht="26" customHeight="1">
      <c r="A1" s="1" t="inlineStr">
        <is>
          <t>Poultry Farm — Egg Production &amp; Sales</t>
        </is>
      </c>
    </row>
    <row r="2" ht="16" customHeight="1">
      <c r="A2" s="2" t="inlineStr">
        <is>
          <t>52 weeks production  |  103 egg sale invoices</t>
        </is>
      </c>
    </row>
    <row r="3" ht="15" customHeight="1">
      <c r="A3" s="5" t="inlineStr">
        <is>
          <t xml:space="preserve">  Egg Production — Weekly (Source system only — production records not held in ERPNext)</t>
        </is>
      </c>
    </row>
    <row r="4" ht="28" customHeight="1">
      <c r="A4" s="3" t="inlineStr">
        <is>
          <t>Week Start</t>
        </is>
      </c>
      <c r="B4" s="3" t="inlineStr">
        <is>
          <t>Week End</t>
        </is>
      </c>
      <c r="C4" s="3" t="inlineStr">
        <is>
          <t>Collected</t>
        </is>
      </c>
      <c r="D4" s="3" t="inlineStr">
        <is>
          <t>Damaged</t>
        </is>
      </c>
      <c r="E4" s="3" t="inlineStr">
        <is>
          <t>Available</t>
        </is>
      </c>
      <c r="F4" s="3" t="inlineStr">
        <is>
          <t>Damage Rate</t>
        </is>
      </c>
      <c r="G4" s="3" t="inlineStr">
        <is>
          <t>Notes</t>
        </is>
      </c>
      <c r="H4" s="3" t="inlineStr"/>
    </row>
    <row r="5" ht="14" customHeight="1">
      <c r="A5" s="7" t="inlineStr">
        <is>
          <t>2024-02-12</t>
        </is>
      </c>
      <c r="B5" s="7" t="inlineStr">
        <is>
          <t>2024-02-18</t>
        </is>
      </c>
      <c r="C5" s="8" t="n">
        <v>645</v>
      </c>
      <c r="D5" s="8" t="n">
        <v>9</v>
      </c>
      <c r="E5" s="8" t="n">
        <v>636</v>
      </c>
      <c r="F5" s="61" t="n">
        <v>0.01395348837209302</v>
      </c>
      <c r="G5" s="11" t="inlineStr"/>
      <c r="H5" s="12" t="n"/>
    </row>
    <row r="6" ht="14" customHeight="1">
      <c r="A6" s="14" t="inlineStr">
        <is>
          <t>2024-02-19</t>
        </is>
      </c>
      <c r="B6" s="14" t="inlineStr">
        <is>
          <t>2024-02-25</t>
        </is>
      </c>
      <c r="C6" s="15" t="n">
        <v>793</v>
      </c>
      <c r="D6" s="15" t="n">
        <v>11</v>
      </c>
      <c r="E6" s="15" t="n">
        <v>782</v>
      </c>
      <c r="F6" s="64" t="n">
        <v>0.01387137452711223</v>
      </c>
      <c r="G6" s="17" t="inlineStr"/>
      <c r="H6" s="18" t="n"/>
    </row>
    <row r="7" ht="14" customHeight="1">
      <c r="A7" s="7" t="inlineStr">
        <is>
          <t>2024-02-26</t>
        </is>
      </c>
      <c r="B7" s="7" t="inlineStr">
        <is>
          <t>2024-03-03</t>
        </is>
      </c>
      <c r="C7" s="8" t="n">
        <v>893</v>
      </c>
      <c r="D7" s="8" t="n">
        <v>11</v>
      </c>
      <c r="E7" s="8" t="n">
        <v>882</v>
      </c>
      <c r="F7" s="61" t="n">
        <v>0.01231802911534154</v>
      </c>
      <c r="G7" s="11" t="inlineStr"/>
      <c r="H7" s="12" t="n"/>
    </row>
    <row r="8" ht="14" customHeight="1">
      <c r="A8" s="14" t="inlineStr">
        <is>
          <t>2024-03-04</t>
        </is>
      </c>
      <c r="B8" s="14" t="inlineStr">
        <is>
          <t>2024-03-10</t>
        </is>
      </c>
      <c r="C8" s="15" t="n">
        <v>1072</v>
      </c>
      <c r="D8" s="15" t="n">
        <v>26</v>
      </c>
      <c r="E8" s="15" t="n">
        <v>1046</v>
      </c>
      <c r="F8" s="64" t="n">
        <v>0.02425373134328358</v>
      </c>
      <c r="G8" s="17" t="inlineStr">
        <is>
          <t>Slight dip due to cold spell</t>
        </is>
      </c>
      <c r="H8" s="18" t="n"/>
    </row>
    <row r="9" ht="14" customHeight="1">
      <c r="A9" s="7" t="inlineStr">
        <is>
          <t>2024-03-11</t>
        </is>
      </c>
      <c r="B9" s="7" t="inlineStr">
        <is>
          <t>2024-03-17</t>
        </is>
      </c>
      <c r="C9" s="8" t="n">
        <v>1046</v>
      </c>
      <c r="D9" s="8" t="n">
        <v>11</v>
      </c>
      <c r="E9" s="8" t="n">
        <v>1035</v>
      </c>
      <c r="F9" s="61" t="n">
        <v>0.01051625239005736</v>
      </c>
      <c r="G9" s="11" t="inlineStr"/>
      <c r="H9" s="12" t="n"/>
    </row>
    <row r="10" ht="14" customHeight="1">
      <c r="A10" s="14" t="inlineStr">
        <is>
          <t>2024-03-18</t>
        </is>
      </c>
      <c r="B10" s="14" t="inlineStr">
        <is>
          <t>2024-03-24</t>
        </is>
      </c>
      <c r="C10" s="15" t="n">
        <v>1050</v>
      </c>
      <c r="D10" s="15" t="n">
        <v>22</v>
      </c>
      <c r="E10" s="15" t="n">
        <v>1028</v>
      </c>
      <c r="F10" s="64" t="n">
        <v>0.02095238095238095</v>
      </c>
      <c r="G10" s="17" t="inlineStr">
        <is>
          <t>Good week — all hens healthy</t>
        </is>
      </c>
      <c r="H10" s="18" t="n"/>
    </row>
    <row r="11" ht="14" customHeight="1">
      <c r="A11" s="7" t="inlineStr">
        <is>
          <t>2024-03-25</t>
        </is>
      </c>
      <c r="B11" s="7" t="inlineStr">
        <is>
          <t>2024-03-31</t>
        </is>
      </c>
      <c r="C11" s="8" t="n">
        <v>1051</v>
      </c>
      <c r="D11" s="8" t="n">
        <v>11</v>
      </c>
      <c r="E11" s="8" t="n">
        <v>1040</v>
      </c>
      <c r="F11" s="61" t="n">
        <v>0.0104662226450999</v>
      </c>
      <c r="G11" s="11" t="inlineStr"/>
      <c r="H11" s="12" t="n"/>
    </row>
    <row r="12" ht="14" customHeight="1">
      <c r="A12" s="14" t="inlineStr">
        <is>
          <t>2024-04-01</t>
        </is>
      </c>
      <c r="B12" s="14" t="inlineStr">
        <is>
          <t>2024-04-07</t>
        </is>
      </c>
      <c r="C12" s="15" t="n">
        <v>1041</v>
      </c>
      <c r="D12" s="15" t="n">
        <v>18</v>
      </c>
      <c r="E12" s="15" t="n">
        <v>1023</v>
      </c>
      <c r="F12" s="64" t="n">
        <v>0.01729106628242075</v>
      </c>
      <c r="G12" s="17" t="inlineStr"/>
      <c r="H12" s="18" t="n"/>
    </row>
    <row r="13" ht="14" customHeight="1">
      <c r="A13" s="7" t="inlineStr">
        <is>
          <t>2024-04-08</t>
        </is>
      </c>
      <c r="B13" s="7" t="inlineStr">
        <is>
          <t>2024-04-14</t>
        </is>
      </c>
      <c r="C13" s="8" t="n">
        <v>1075</v>
      </c>
      <c r="D13" s="8" t="n">
        <v>26</v>
      </c>
      <c r="E13" s="8" t="n">
        <v>1049</v>
      </c>
      <c r="F13" s="61" t="n">
        <v>0.02418604651162791</v>
      </c>
      <c r="G13" s="11" t="inlineStr">
        <is>
          <t>Vet visit this week — routine checkup</t>
        </is>
      </c>
      <c r="H13" s="12" t="n"/>
    </row>
    <row r="14" ht="14" customHeight="1">
      <c r="A14" s="14" t="inlineStr">
        <is>
          <t>2024-04-15</t>
        </is>
      </c>
      <c r="B14" s="14" t="inlineStr">
        <is>
          <t>2024-04-21</t>
        </is>
      </c>
      <c r="C14" s="15" t="n">
        <v>978</v>
      </c>
      <c r="D14" s="15" t="n">
        <v>25</v>
      </c>
      <c r="E14" s="15" t="n">
        <v>953</v>
      </c>
      <c r="F14" s="64" t="n">
        <v>0.02556237218813906</v>
      </c>
      <c r="G14" s="17" t="inlineStr"/>
      <c r="H14" s="18" t="n"/>
    </row>
    <row r="15" ht="14" customHeight="1">
      <c r="A15" s="7" t="inlineStr">
        <is>
          <t>2024-04-22</t>
        </is>
      </c>
      <c r="B15" s="7" t="inlineStr">
        <is>
          <t>2024-04-28</t>
        </is>
      </c>
      <c r="C15" s="8" t="n">
        <v>1125</v>
      </c>
      <c r="D15" s="8" t="n">
        <v>18</v>
      </c>
      <c r="E15" s="8" t="n">
        <v>1107</v>
      </c>
      <c r="F15" s="61" t="n">
        <v>0.016</v>
      </c>
      <c r="G15" s="11" t="inlineStr"/>
      <c r="H15" s="12" t="n"/>
    </row>
    <row r="16" ht="14" customHeight="1">
      <c r="A16" s="14" t="inlineStr">
        <is>
          <t>2024-04-29</t>
        </is>
      </c>
      <c r="B16" s="14" t="inlineStr">
        <is>
          <t>2024-05-05</t>
        </is>
      </c>
      <c r="C16" s="15" t="n">
        <v>984</v>
      </c>
      <c r="D16" s="15" t="n">
        <v>15</v>
      </c>
      <c r="E16" s="15" t="n">
        <v>969</v>
      </c>
      <c r="F16" s="64" t="n">
        <v>0.01524390243902439</v>
      </c>
      <c r="G16" s="17" t="inlineStr"/>
      <c r="H16" s="18" t="n"/>
    </row>
    <row r="17" ht="14" customHeight="1">
      <c r="A17" s="7" t="inlineStr">
        <is>
          <t>2024-05-06</t>
        </is>
      </c>
      <c r="B17" s="7" t="inlineStr">
        <is>
          <t>2024-05-12</t>
        </is>
      </c>
      <c r="C17" s="8" t="n">
        <v>973</v>
      </c>
      <c r="D17" s="8" t="n">
        <v>10</v>
      </c>
      <c r="E17" s="8" t="n">
        <v>963</v>
      </c>
      <c r="F17" s="61" t="n">
        <v>0.01027749229188078</v>
      </c>
      <c r="G17" s="11" t="inlineStr">
        <is>
          <t>Heavy rains affected collection schedule</t>
        </is>
      </c>
      <c r="H17" s="12" t="n"/>
    </row>
    <row r="18" ht="14" customHeight="1">
      <c r="A18" s="14" t="inlineStr">
        <is>
          <t>2024-05-13</t>
        </is>
      </c>
      <c r="B18" s="14" t="inlineStr">
        <is>
          <t>2024-05-19</t>
        </is>
      </c>
      <c r="C18" s="15" t="n">
        <v>1105</v>
      </c>
      <c r="D18" s="15" t="n">
        <v>22</v>
      </c>
      <c r="E18" s="15" t="n">
        <v>1083</v>
      </c>
      <c r="F18" s="64" t="n">
        <v>0.01990950226244344</v>
      </c>
      <c r="G18" s="17" t="inlineStr"/>
      <c r="H18" s="18" t="n"/>
    </row>
    <row r="19" ht="14" customHeight="1">
      <c r="A19" s="7" t="inlineStr">
        <is>
          <t>2024-05-20</t>
        </is>
      </c>
      <c r="B19" s="7" t="inlineStr">
        <is>
          <t>2024-05-26</t>
        </is>
      </c>
      <c r="C19" s="8" t="n">
        <v>1011</v>
      </c>
      <c r="D19" s="8" t="n">
        <v>21</v>
      </c>
      <c r="E19" s="8" t="n">
        <v>990</v>
      </c>
      <c r="F19" s="61" t="n">
        <v>0.02077151335311573</v>
      </c>
      <c r="G19" s="11" t="inlineStr"/>
      <c r="H19" s="12" t="n"/>
    </row>
    <row r="20" ht="14" customHeight="1">
      <c r="A20" s="14" t="inlineStr">
        <is>
          <t>2024-05-27</t>
        </is>
      </c>
      <c r="B20" s="14" t="inlineStr">
        <is>
          <t>2024-06-02</t>
        </is>
      </c>
      <c r="C20" s="15" t="n">
        <v>1007</v>
      </c>
      <c r="D20" s="15" t="n">
        <v>23</v>
      </c>
      <c r="E20" s="15" t="n">
        <v>984</v>
      </c>
      <c r="F20" s="64" t="n">
        <v>0.02284011916583913</v>
      </c>
      <c r="G20" s="17" t="inlineStr">
        <is>
          <t>2 hens lost to illness</t>
        </is>
      </c>
      <c r="H20" s="18" t="n"/>
    </row>
    <row r="21" ht="14" customHeight="1">
      <c r="A21" s="7" t="inlineStr">
        <is>
          <t>2024-06-03</t>
        </is>
      </c>
      <c r="B21" s="7" t="inlineStr">
        <is>
          <t>2024-06-09</t>
        </is>
      </c>
      <c r="C21" s="8" t="n">
        <v>909</v>
      </c>
      <c r="D21" s="8" t="n">
        <v>17</v>
      </c>
      <c r="E21" s="8" t="n">
        <v>892</v>
      </c>
      <c r="F21" s="61" t="n">
        <v>0.0187018701870187</v>
      </c>
      <c r="G21" s="11" t="inlineStr"/>
      <c r="H21" s="12" t="n"/>
    </row>
    <row r="22" ht="14" customHeight="1">
      <c r="A22" s="14" t="inlineStr">
        <is>
          <t>2024-06-10</t>
        </is>
      </c>
      <c r="B22" s="14" t="inlineStr">
        <is>
          <t>2024-06-16</t>
        </is>
      </c>
      <c r="C22" s="15" t="n">
        <v>949</v>
      </c>
      <c r="D22" s="15" t="n">
        <v>19</v>
      </c>
      <c r="E22" s="15" t="n">
        <v>930</v>
      </c>
      <c r="F22" s="64" t="n">
        <v>0.02002107481559536</v>
      </c>
      <c r="G22" s="17" t="inlineStr"/>
      <c r="H22" s="18" t="n"/>
    </row>
    <row r="23" ht="14" customHeight="1">
      <c r="A23" s="7" t="inlineStr">
        <is>
          <t>2024-06-17</t>
        </is>
      </c>
      <c r="B23" s="7" t="inlineStr">
        <is>
          <t>2024-06-23</t>
        </is>
      </c>
      <c r="C23" s="8" t="n">
        <v>1032</v>
      </c>
      <c r="D23" s="8" t="n">
        <v>12</v>
      </c>
      <c r="E23" s="8" t="n">
        <v>1020</v>
      </c>
      <c r="F23" s="61" t="n">
        <v>0.01162790697674419</v>
      </c>
      <c r="G23" s="11" t="inlineStr"/>
      <c r="H23" s="12" t="n"/>
    </row>
    <row r="24" ht="14" customHeight="1">
      <c r="A24" s="14" t="inlineStr">
        <is>
          <t>2024-06-24</t>
        </is>
      </c>
      <c r="B24" s="14" t="inlineStr">
        <is>
          <t>2024-06-30</t>
        </is>
      </c>
      <c r="C24" s="15" t="n">
        <v>957</v>
      </c>
      <c r="D24" s="15" t="n">
        <v>10</v>
      </c>
      <c r="E24" s="15" t="n">
        <v>947</v>
      </c>
      <c r="F24" s="64" t="n">
        <v>0.01044932079414838</v>
      </c>
      <c r="G24" s="17" t="inlineStr">
        <is>
          <t>Feed delivery delayed by 1 day</t>
        </is>
      </c>
      <c r="H24" s="18" t="n"/>
    </row>
    <row r="25" ht="14" customHeight="1">
      <c r="A25" s="7" t="inlineStr">
        <is>
          <t>2024-07-01</t>
        </is>
      </c>
      <c r="B25" s="7" t="inlineStr">
        <is>
          <t>2024-07-07</t>
        </is>
      </c>
      <c r="C25" s="8" t="n">
        <v>895</v>
      </c>
      <c r="D25" s="8" t="n">
        <v>20</v>
      </c>
      <c r="E25" s="8" t="n">
        <v>875</v>
      </c>
      <c r="F25" s="61" t="n">
        <v>0.0223463687150838</v>
      </c>
      <c r="G25" s="11" t="inlineStr"/>
      <c r="H25" s="12" t="n"/>
    </row>
    <row r="26" ht="14" customHeight="1">
      <c r="A26" s="14" t="inlineStr">
        <is>
          <t>2024-07-08</t>
        </is>
      </c>
      <c r="B26" s="14" t="inlineStr">
        <is>
          <t>2024-07-14</t>
        </is>
      </c>
      <c r="C26" s="15" t="n">
        <v>911</v>
      </c>
      <c r="D26" s="15" t="n">
        <v>10</v>
      </c>
      <c r="E26" s="15" t="n">
        <v>901</v>
      </c>
      <c r="F26" s="64" t="n">
        <v>0.01097694840834248</v>
      </c>
      <c r="G26" s="17" t="inlineStr"/>
      <c r="H26" s="18" t="n"/>
    </row>
    <row r="27" ht="14" customHeight="1">
      <c r="A27" s="7" t="inlineStr">
        <is>
          <t>2024-07-15</t>
        </is>
      </c>
      <c r="B27" s="7" t="inlineStr">
        <is>
          <t>2024-07-21</t>
        </is>
      </c>
      <c r="C27" s="8" t="n">
        <v>1016</v>
      </c>
      <c r="D27" s="8" t="n">
        <v>19</v>
      </c>
      <c r="E27" s="8" t="n">
        <v>997</v>
      </c>
      <c r="F27" s="61" t="n">
        <v>0.0187007874015748</v>
      </c>
      <c r="G27" s="11" t="inlineStr"/>
      <c r="H27" s="12" t="n"/>
    </row>
    <row r="28" ht="14" customHeight="1">
      <c r="A28" s="14" t="inlineStr">
        <is>
          <t>2024-07-22</t>
        </is>
      </c>
      <c r="B28" s="14" t="inlineStr">
        <is>
          <t>2024-07-28</t>
        </is>
      </c>
      <c r="C28" s="15" t="n">
        <v>1008</v>
      </c>
      <c r="D28" s="15" t="n">
        <v>16</v>
      </c>
      <c r="E28" s="15" t="n">
        <v>992</v>
      </c>
      <c r="F28" s="64" t="n">
        <v>0.01587301587301587</v>
      </c>
      <c r="G28" s="17" t="inlineStr"/>
      <c r="H28" s="18" t="n"/>
    </row>
    <row r="29" ht="14" customHeight="1">
      <c r="A29" s="7" t="inlineStr">
        <is>
          <t>2024-07-29</t>
        </is>
      </c>
      <c r="B29" s="7" t="inlineStr">
        <is>
          <t>2024-08-04</t>
        </is>
      </c>
      <c r="C29" s="8" t="n">
        <v>1022</v>
      </c>
      <c r="D29" s="8" t="n">
        <v>13</v>
      </c>
      <c r="E29" s="8" t="n">
        <v>1009</v>
      </c>
      <c r="F29" s="61" t="n">
        <v>0.01272015655577299</v>
      </c>
      <c r="G29" s="11" t="inlineStr"/>
      <c r="H29" s="12" t="n"/>
    </row>
    <row r="30" ht="14" customHeight="1">
      <c r="A30" s="14" t="inlineStr">
        <is>
          <t>2024-08-05</t>
        </is>
      </c>
      <c r="B30" s="14" t="inlineStr">
        <is>
          <t>2024-08-11</t>
        </is>
      </c>
      <c r="C30" s="15" t="n">
        <v>989</v>
      </c>
      <c r="D30" s="15" t="n">
        <v>12</v>
      </c>
      <c r="E30" s="15" t="n">
        <v>977</v>
      </c>
      <c r="F30" s="64" t="n">
        <v>0.01213346814964611</v>
      </c>
      <c r="G30" s="17" t="inlineStr">
        <is>
          <t>New waterers installed</t>
        </is>
      </c>
      <c r="H30" s="18" t="n"/>
    </row>
    <row r="31" ht="14" customHeight="1">
      <c r="A31" s="7" t="inlineStr">
        <is>
          <t>2024-08-12</t>
        </is>
      </c>
      <c r="B31" s="7" t="inlineStr">
        <is>
          <t>2024-08-18</t>
        </is>
      </c>
      <c r="C31" s="8" t="n">
        <v>892</v>
      </c>
      <c r="D31" s="8" t="n">
        <v>10</v>
      </c>
      <c r="E31" s="8" t="n">
        <v>882</v>
      </c>
      <c r="F31" s="61" t="n">
        <v>0.01121076233183856</v>
      </c>
      <c r="G31" s="11" t="inlineStr"/>
      <c r="H31" s="12" t="n"/>
    </row>
    <row r="32" ht="14" customHeight="1">
      <c r="A32" s="14" t="inlineStr">
        <is>
          <t>2024-08-19</t>
        </is>
      </c>
      <c r="B32" s="14" t="inlineStr">
        <is>
          <t>2024-08-25</t>
        </is>
      </c>
      <c r="C32" s="15" t="n">
        <v>992</v>
      </c>
      <c r="D32" s="15" t="n">
        <v>27</v>
      </c>
      <c r="E32" s="15" t="n">
        <v>965</v>
      </c>
      <c r="F32" s="64" t="n">
        <v>0.02721774193548387</v>
      </c>
      <c r="G32" s="17" t="inlineStr"/>
      <c r="H32" s="18" t="n"/>
    </row>
    <row r="33" ht="14" customHeight="1">
      <c r="A33" s="7" t="inlineStr">
        <is>
          <t>2024-08-26</t>
        </is>
      </c>
      <c r="B33" s="7" t="inlineStr">
        <is>
          <t>2024-09-01</t>
        </is>
      </c>
      <c r="C33" s="8" t="n">
        <v>1048</v>
      </c>
      <c r="D33" s="8" t="n">
        <v>25</v>
      </c>
      <c r="E33" s="8" t="n">
        <v>1023</v>
      </c>
      <c r="F33" s="61" t="n">
        <v>0.02385496183206107</v>
      </c>
      <c r="G33" s="11" t="inlineStr"/>
      <c r="H33" s="12" t="n"/>
    </row>
    <row r="34" ht="14" customHeight="1">
      <c r="A34" s="14" t="inlineStr">
        <is>
          <t>2024-09-02</t>
        </is>
      </c>
      <c r="B34" s="14" t="inlineStr">
        <is>
          <t>2024-09-08</t>
        </is>
      </c>
      <c r="C34" s="15" t="n">
        <v>1021</v>
      </c>
      <c r="D34" s="15" t="n">
        <v>11</v>
      </c>
      <c r="E34" s="15" t="n">
        <v>1010</v>
      </c>
      <c r="F34" s="64" t="n">
        <v>0.01077375122428991</v>
      </c>
      <c r="G34" s="17" t="inlineStr"/>
      <c r="H34" s="18" t="n"/>
    </row>
    <row r="35" ht="14" customHeight="1">
      <c r="A35" s="7" t="inlineStr">
        <is>
          <t>2024-09-09</t>
        </is>
      </c>
      <c r="B35" s="7" t="inlineStr">
        <is>
          <t>2024-09-15</t>
        </is>
      </c>
      <c r="C35" s="8" t="n">
        <v>983</v>
      </c>
      <c r="D35" s="8" t="n">
        <v>18</v>
      </c>
      <c r="E35" s="8" t="n">
        <v>965</v>
      </c>
      <c r="F35" s="61" t="n">
        <v>0.01831129196337742</v>
      </c>
      <c r="G35" s="11" t="inlineStr"/>
      <c r="H35" s="12" t="n"/>
    </row>
    <row r="36" ht="14" customHeight="1">
      <c r="A36" s="14" t="inlineStr">
        <is>
          <t>2024-09-16</t>
        </is>
      </c>
      <c r="B36" s="14" t="inlineStr">
        <is>
          <t>2024-09-22</t>
        </is>
      </c>
      <c r="C36" s="15" t="n">
        <v>1091</v>
      </c>
      <c r="D36" s="15" t="n">
        <v>14</v>
      </c>
      <c r="E36" s="15" t="n">
        <v>1077</v>
      </c>
      <c r="F36" s="64" t="n">
        <v>0.01283226397800183</v>
      </c>
      <c r="G36" s="17" t="inlineStr">
        <is>
          <t>Predator scare — reinforced coop</t>
        </is>
      </c>
      <c r="H36" s="18" t="n"/>
    </row>
    <row r="37" ht="14" customHeight="1">
      <c r="A37" s="7" t="inlineStr">
        <is>
          <t>2024-09-23</t>
        </is>
      </c>
      <c r="B37" s="7" t="inlineStr">
        <is>
          <t>2024-09-29</t>
        </is>
      </c>
      <c r="C37" s="8" t="n">
        <v>1048</v>
      </c>
      <c r="D37" s="8" t="n">
        <v>10</v>
      </c>
      <c r="E37" s="8" t="n">
        <v>1038</v>
      </c>
      <c r="F37" s="61" t="n">
        <v>0.009541984732824428</v>
      </c>
      <c r="G37" s="11" t="inlineStr"/>
      <c r="H37" s="12" t="n"/>
    </row>
    <row r="38" ht="14" customHeight="1">
      <c r="A38" s="14" t="inlineStr">
        <is>
          <t>2024-09-30</t>
        </is>
      </c>
      <c r="B38" s="14" t="inlineStr">
        <is>
          <t>2024-10-06</t>
        </is>
      </c>
      <c r="C38" s="15" t="n">
        <v>1030</v>
      </c>
      <c r="D38" s="15" t="n">
        <v>26</v>
      </c>
      <c r="E38" s="15" t="n">
        <v>1004</v>
      </c>
      <c r="F38" s="64" t="n">
        <v>0.02524271844660194</v>
      </c>
      <c r="G38" s="17" t="inlineStr"/>
      <c r="H38" s="18" t="n"/>
    </row>
    <row r="39" ht="14" customHeight="1">
      <c r="A39" s="7" t="inlineStr">
        <is>
          <t>2024-10-07</t>
        </is>
      </c>
      <c r="B39" s="7" t="inlineStr">
        <is>
          <t>2024-10-13</t>
        </is>
      </c>
      <c r="C39" s="8" t="n">
        <v>1108</v>
      </c>
      <c r="D39" s="8" t="n">
        <v>20</v>
      </c>
      <c r="E39" s="8" t="n">
        <v>1088</v>
      </c>
      <c r="F39" s="61" t="n">
        <v>0.01805054151624549</v>
      </c>
      <c r="G39" s="11" t="inlineStr"/>
      <c r="H39" s="12" t="n"/>
    </row>
    <row r="40" ht="14" customHeight="1">
      <c r="A40" s="14" t="inlineStr">
        <is>
          <t>2024-10-14</t>
        </is>
      </c>
      <c r="B40" s="14" t="inlineStr">
        <is>
          <t>2024-10-20</t>
        </is>
      </c>
      <c r="C40" s="15" t="n">
        <v>1027</v>
      </c>
      <c r="D40" s="15" t="n">
        <v>29</v>
      </c>
      <c r="E40" s="15" t="n">
        <v>998</v>
      </c>
      <c r="F40" s="64" t="n">
        <v>0.02823758519961051</v>
      </c>
      <c r="G40" s="17" t="inlineStr"/>
      <c r="H40" s="18" t="n"/>
    </row>
    <row r="41" ht="14" customHeight="1">
      <c r="A41" s="7" t="inlineStr">
        <is>
          <t>2024-10-21</t>
        </is>
      </c>
      <c r="B41" s="7" t="inlineStr">
        <is>
          <t>2024-10-27</t>
        </is>
      </c>
      <c r="C41" s="8" t="n">
        <v>1098</v>
      </c>
      <c r="D41" s="8" t="n">
        <v>16</v>
      </c>
      <c r="E41" s="8" t="n">
        <v>1082</v>
      </c>
      <c r="F41" s="61" t="n">
        <v>0.01457194899817851</v>
      </c>
      <c r="G41" s="11" t="inlineStr"/>
      <c r="H41" s="12" t="n"/>
    </row>
    <row r="42" ht="14" customHeight="1">
      <c r="A42" s="14" t="inlineStr">
        <is>
          <t>2024-10-28</t>
        </is>
      </c>
      <c r="B42" s="14" t="inlineStr">
        <is>
          <t>2024-11-03</t>
        </is>
      </c>
      <c r="C42" s="15" t="n">
        <v>1116</v>
      </c>
      <c r="D42" s="15" t="n">
        <v>25</v>
      </c>
      <c r="E42" s="15" t="n">
        <v>1091</v>
      </c>
      <c r="F42" s="64" t="n">
        <v>0.02240143369175627</v>
      </c>
      <c r="G42" s="17" t="inlineStr"/>
      <c r="H42" s="18" t="n"/>
    </row>
    <row r="43" ht="14" customHeight="1">
      <c r="A43" s="7" t="inlineStr">
        <is>
          <t>2024-11-04</t>
        </is>
      </c>
      <c r="B43" s="7" t="inlineStr">
        <is>
          <t>2024-11-10</t>
        </is>
      </c>
      <c r="C43" s="8" t="n">
        <v>1160</v>
      </c>
      <c r="D43" s="8" t="n">
        <v>18</v>
      </c>
      <c r="E43" s="8" t="n">
        <v>1142</v>
      </c>
      <c r="F43" s="61" t="n">
        <v>0.01551724137931034</v>
      </c>
      <c r="G43" s="11" t="inlineStr"/>
      <c r="H43" s="12" t="n"/>
    </row>
    <row r="44" ht="14" customHeight="1">
      <c r="A44" s="14" t="inlineStr">
        <is>
          <t>2024-11-11</t>
        </is>
      </c>
      <c r="B44" s="14" t="inlineStr">
        <is>
          <t>2024-11-17</t>
        </is>
      </c>
      <c r="C44" s="15" t="n">
        <v>1095</v>
      </c>
      <c r="D44" s="15" t="n">
        <v>12</v>
      </c>
      <c r="E44" s="15" t="n">
        <v>1083</v>
      </c>
      <c r="F44" s="64" t="n">
        <v>0.01095890410958904</v>
      </c>
      <c r="G44" s="17" t="inlineStr"/>
      <c r="H44" s="18" t="n"/>
    </row>
    <row r="45" ht="14" customHeight="1">
      <c r="A45" s="7" t="inlineStr">
        <is>
          <t>2024-11-18</t>
        </is>
      </c>
      <c r="B45" s="7" t="inlineStr">
        <is>
          <t>2024-11-24</t>
        </is>
      </c>
      <c r="C45" s="8" t="n">
        <v>1120</v>
      </c>
      <c r="D45" s="8" t="n">
        <v>23</v>
      </c>
      <c r="E45" s="8" t="n">
        <v>1097</v>
      </c>
      <c r="F45" s="61" t="n">
        <v>0.02053571428571429</v>
      </c>
      <c r="G45" s="11" t="inlineStr">
        <is>
          <t>Peak laying — warm weather</t>
        </is>
      </c>
      <c r="H45" s="12" t="n"/>
    </row>
    <row r="46" ht="14" customHeight="1">
      <c r="A46" s="14" t="inlineStr">
        <is>
          <t>2024-11-25</t>
        </is>
      </c>
      <c r="B46" s="14" t="inlineStr">
        <is>
          <t>2024-12-01</t>
        </is>
      </c>
      <c r="C46" s="15" t="n">
        <v>1107</v>
      </c>
      <c r="D46" s="15" t="n">
        <v>27</v>
      </c>
      <c r="E46" s="15" t="n">
        <v>1080</v>
      </c>
      <c r="F46" s="64" t="n">
        <v>0.02439024390243903</v>
      </c>
      <c r="G46" s="17" t="inlineStr"/>
      <c r="H46" s="18" t="n"/>
    </row>
    <row r="47" ht="14" customHeight="1">
      <c r="A47" s="7" t="inlineStr">
        <is>
          <t>2024-12-02</t>
        </is>
      </c>
      <c r="B47" s="7" t="inlineStr">
        <is>
          <t>2024-12-08</t>
        </is>
      </c>
      <c r="C47" s="8" t="n">
        <v>1104</v>
      </c>
      <c r="D47" s="8" t="n">
        <v>21</v>
      </c>
      <c r="E47" s="8" t="n">
        <v>1083</v>
      </c>
      <c r="F47" s="61" t="n">
        <v>0.01902173913043478</v>
      </c>
      <c r="G47" s="11" t="inlineStr"/>
      <c r="H47" s="12" t="n"/>
    </row>
    <row r="48" ht="14" customHeight="1">
      <c r="A48" s="14" t="inlineStr">
        <is>
          <t>2024-12-09</t>
        </is>
      </c>
      <c r="B48" s="14" t="inlineStr">
        <is>
          <t>2024-12-15</t>
        </is>
      </c>
      <c r="C48" s="15" t="n">
        <v>1129</v>
      </c>
      <c r="D48" s="15" t="n">
        <v>27</v>
      </c>
      <c r="E48" s="15" t="n">
        <v>1102</v>
      </c>
      <c r="F48" s="64" t="n">
        <v>0.02391496899911426</v>
      </c>
      <c r="G48" s="17" t="inlineStr"/>
      <c r="H48" s="18" t="n"/>
    </row>
    <row r="49" ht="14" customHeight="1">
      <c r="A49" s="7" t="inlineStr">
        <is>
          <t>2024-12-16</t>
        </is>
      </c>
      <c r="B49" s="7" t="inlineStr">
        <is>
          <t>2024-12-22</t>
        </is>
      </c>
      <c r="C49" s="8" t="n">
        <v>1076</v>
      </c>
      <c r="D49" s="8" t="n">
        <v>12</v>
      </c>
      <c r="E49" s="8" t="n">
        <v>1064</v>
      </c>
      <c r="F49" s="61" t="n">
        <v>0.01115241635687732</v>
      </c>
      <c r="G49" s="11" t="inlineStr"/>
      <c r="H49" s="12" t="n"/>
    </row>
    <row r="50" ht="14" customHeight="1">
      <c r="A50" s="14" t="inlineStr">
        <is>
          <t>2024-12-23</t>
        </is>
      </c>
      <c r="B50" s="14" t="inlineStr">
        <is>
          <t>2024-12-29</t>
        </is>
      </c>
      <c r="C50" s="15" t="n">
        <v>1073</v>
      </c>
      <c r="D50" s="15" t="n">
        <v>26</v>
      </c>
      <c r="E50" s="15" t="n">
        <v>1047</v>
      </c>
      <c r="F50" s="64" t="n">
        <v>0.02423112767940354</v>
      </c>
      <c r="G50" s="17" t="inlineStr"/>
      <c r="H50" s="18" t="n"/>
    </row>
    <row r="51" ht="14" customHeight="1">
      <c r="A51" s="7" t="inlineStr">
        <is>
          <t>2024-12-30</t>
        </is>
      </c>
      <c r="B51" s="7" t="inlineStr">
        <is>
          <t>2025-01-05</t>
        </is>
      </c>
      <c r="C51" s="8" t="n">
        <v>1114</v>
      </c>
      <c r="D51" s="8" t="n">
        <v>28</v>
      </c>
      <c r="E51" s="8" t="n">
        <v>1086</v>
      </c>
      <c r="F51" s="61" t="n">
        <v>0.02513464991023339</v>
      </c>
      <c r="G51" s="11" t="inlineStr"/>
      <c r="H51" s="12" t="n"/>
    </row>
    <row r="52" ht="14" customHeight="1">
      <c r="A52" s="14" t="inlineStr">
        <is>
          <t>2025-01-06</t>
        </is>
      </c>
      <c r="B52" s="14" t="inlineStr">
        <is>
          <t>2025-01-12</t>
        </is>
      </c>
      <c r="C52" s="15" t="n">
        <v>1116</v>
      </c>
      <c r="D52" s="15" t="n">
        <v>17</v>
      </c>
      <c r="E52" s="15" t="n">
        <v>1099</v>
      </c>
      <c r="F52" s="64" t="n">
        <v>0.01523297491039427</v>
      </c>
      <c r="G52" s="17" t="inlineStr">
        <is>
          <t>End of year — strong production</t>
        </is>
      </c>
      <c r="H52" s="18" t="n"/>
    </row>
    <row r="53" ht="14" customHeight="1">
      <c r="A53" s="7" t="inlineStr">
        <is>
          <t>2025-01-13</t>
        </is>
      </c>
      <c r="B53" s="7" t="inlineStr">
        <is>
          <t>2025-01-19</t>
        </is>
      </c>
      <c r="C53" s="8" t="n">
        <v>1070</v>
      </c>
      <c r="D53" s="8" t="n">
        <v>24</v>
      </c>
      <c r="E53" s="8" t="n">
        <v>1046</v>
      </c>
      <c r="F53" s="61" t="n">
        <v>0.02242990654205607</v>
      </c>
      <c r="G53" s="11" t="inlineStr"/>
      <c r="H53" s="12" t="n"/>
    </row>
    <row r="54" ht="14" customHeight="1">
      <c r="A54" s="14" t="inlineStr">
        <is>
          <t>2025-01-20</t>
        </is>
      </c>
      <c r="B54" s="14" t="inlineStr">
        <is>
          <t>2025-01-26</t>
        </is>
      </c>
      <c r="C54" s="15" t="n">
        <v>989</v>
      </c>
      <c r="D54" s="15" t="n">
        <v>14</v>
      </c>
      <c r="E54" s="15" t="n">
        <v>975</v>
      </c>
      <c r="F54" s="64" t="n">
        <v>0.01415571284125379</v>
      </c>
      <c r="G54" s="17" t="inlineStr"/>
      <c r="H54" s="18" t="n"/>
    </row>
    <row r="55" ht="14" customHeight="1">
      <c r="A55" s="7" t="inlineStr">
        <is>
          <t>2025-01-27</t>
        </is>
      </c>
      <c r="B55" s="7" t="inlineStr">
        <is>
          <t>2025-02-02</t>
        </is>
      </c>
      <c r="C55" s="8" t="n">
        <v>1004</v>
      </c>
      <c r="D55" s="8" t="n">
        <v>25</v>
      </c>
      <c r="E55" s="8" t="n">
        <v>979</v>
      </c>
      <c r="F55" s="61" t="n">
        <v>0.0249003984063745</v>
      </c>
      <c r="G55" s="11" t="inlineStr"/>
      <c r="H55" s="12" t="n"/>
    </row>
    <row r="56" ht="14" customHeight="1">
      <c r="A56" s="14" t="inlineStr">
        <is>
          <t>2025-02-03</t>
        </is>
      </c>
      <c r="B56" s="14" t="inlineStr">
        <is>
          <t>2025-02-09</t>
        </is>
      </c>
      <c r="C56" s="15" t="n">
        <v>983</v>
      </c>
      <c r="D56" s="15" t="n">
        <v>29</v>
      </c>
      <c r="E56" s="15" t="n">
        <v>954</v>
      </c>
      <c r="F56" s="64" t="n">
        <v>0.02950152594099695</v>
      </c>
      <c r="G56" s="17" t="inlineStr"/>
      <c r="H56" s="18" t="n"/>
    </row>
    <row r="57" ht="16" customHeight="1">
      <c r="A57" s="56" t="inlineStr">
        <is>
          <t>TOTAL</t>
        </is>
      </c>
      <c r="B57" s="44" t="n"/>
      <c r="C57" s="57">
        <f>SUM(C5:C56)</f>
        <v/>
      </c>
      <c r="D57" s="57">
        <f>SUM(D5:D56)</f>
        <v/>
      </c>
      <c r="E57" s="57">
        <f>SUM(E5:E56)</f>
        <v/>
      </c>
      <c r="F57" s="66">
        <f>D57/C57</f>
        <v/>
      </c>
      <c r="G57" s="44" t="n"/>
      <c r="H57" s="44" t="n"/>
    </row>
    <row r="59" ht="15" customHeight="1">
      <c r="A59" s="5" t="inlineStr">
        <is>
          <t xml:space="preserve">  Egg Sales — All Transactions (CSV source vs ERPNext invoice)</t>
        </is>
      </c>
    </row>
    <row r="60" ht="28" customHeight="1">
      <c r="A60" s="3" t="inlineStr">
        <is>
          <t>Date</t>
        </is>
      </c>
      <c r="B60" s="3" t="inlineStr">
        <is>
          <t>Customer</t>
        </is>
      </c>
      <c r="C60" s="3" t="inlineStr">
        <is>
          <t>Trays</t>
        </is>
      </c>
      <c r="D60" s="3" t="inlineStr">
        <is>
          <t>Price/Tray (KES)</t>
        </is>
      </c>
      <c r="E60" s="3" t="inlineStr">
        <is>
          <t>Total (CSV) KES</t>
        </is>
      </c>
      <c r="F60" s="4" t="inlineStr">
        <is>
          <t>ERP Invoice No.</t>
        </is>
      </c>
      <c r="G60" s="4" t="inlineStr">
        <is>
          <t>ERP Total (KES)</t>
        </is>
      </c>
      <c r="H60" s="3" t="inlineStr">
        <is>
          <t>Status</t>
        </is>
      </c>
    </row>
    <row r="61" ht="14" customHeight="1">
      <c r="A61" s="7" t="inlineStr">
        <is>
          <t>2024-03-01</t>
        </is>
      </c>
      <c r="B61" s="7" t="inlineStr">
        <is>
          <t>Damaris Sigei</t>
        </is>
      </c>
      <c r="C61" s="8" t="n">
        <v>3</v>
      </c>
      <c r="D61" s="8" t="n">
        <v>345</v>
      </c>
      <c r="E61" s="8" t="n">
        <v>1035</v>
      </c>
      <c r="F61" s="67" t="inlineStr">
        <is>
          <t>ACC-SINV-2026-00300</t>
        </is>
      </c>
      <c r="G61" s="55" t="n">
        <v>1035</v>
      </c>
      <c r="H61" s="10" t="inlineStr">
        <is>
          <t>✓ Match</t>
        </is>
      </c>
    </row>
    <row r="62" ht="14" customHeight="1">
      <c r="A62" s="14" t="inlineStr">
        <is>
          <t>2024-03-05</t>
        </is>
      </c>
      <c r="B62" s="14" t="inlineStr">
        <is>
          <t>Apiyo Kibe</t>
        </is>
      </c>
      <c r="C62" s="15" t="n">
        <v>8</v>
      </c>
      <c r="D62" s="15" t="n">
        <v>340</v>
      </c>
      <c r="E62" s="15" t="n">
        <v>2720</v>
      </c>
      <c r="F62" s="19" t="inlineStr">
        <is>
          <t>ACC-SINV-2026-00301</t>
        </is>
      </c>
      <c r="G62" s="22" t="n">
        <v>2720</v>
      </c>
      <c r="H62" s="10" t="inlineStr">
        <is>
          <t>✓ Match</t>
        </is>
      </c>
    </row>
    <row r="63" ht="14" customHeight="1">
      <c r="A63" s="7" t="inlineStr">
        <is>
          <t>2024-03-08</t>
        </is>
      </c>
      <c r="B63" s="7" t="inlineStr">
        <is>
          <t>Atieno Ndirangu</t>
        </is>
      </c>
      <c r="C63" s="8" t="n">
        <v>2</v>
      </c>
      <c r="D63" s="8" t="n">
        <v>360</v>
      </c>
      <c r="E63" s="8" t="n">
        <v>720</v>
      </c>
      <c r="F63" s="67" t="inlineStr">
        <is>
          <t>ACC-SINV-2026-00302</t>
        </is>
      </c>
      <c r="G63" s="55" t="n">
        <v>720</v>
      </c>
      <c r="H63" s="10" t="inlineStr">
        <is>
          <t>✓ Match</t>
        </is>
      </c>
    </row>
    <row r="64" ht="14" customHeight="1">
      <c r="A64" s="14" t="inlineStr">
        <is>
          <t>2024-03-08</t>
        </is>
      </c>
      <c r="B64" s="14" t="inlineStr">
        <is>
          <t>Apiyo Kibe</t>
        </is>
      </c>
      <c r="C64" s="15" t="n">
        <v>6</v>
      </c>
      <c r="D64" s="15" t="n">
        <v>345</v>
      </c>
      <c r="E64" s="15" t="n">
        <v>2070</v>
      </c>
      <c r="F64" s="19" t="inlineStr">
        <is>
          <t>ACC-SINV-2026-00303</t>
        </is>
      </c>
      <c r="G64" s="22" t="n">
        <v>2070</v>
      </c>
      <c r="H64" s="10" t="inlineStr">
        <is>
          <t>✓ Match</t>
        </is>
      </c>
    </row>
    <row r="65" ht="14" customHeight="1">
      <c r="A65" s="7" t="inlineStr">
        <is>
          <t>2024-03-12</t>
        </is>
      </c>
      <c r="B65" s="7" t="inlineStr">
        <is>
          <t>Apiyo Kibe</t>
        </is>
      </c>
      <c r="C65" s="8" t="n">
        <v>6</v>
      </c>
      <c r="D65" s="8" t="n">
        <v>345</v>
      </c>
      <c r="E65" s="8" t="n">
        <v>2070</v>
      </c>
      <c r="F65" s="67" t="inlineStr">
        <is>
          <t>ACC-SINV-2026-00304</t>
        </is>
      </c>
      <c r="G65" s="55" t="n">
        <v>2070</v>
      </c>
      <c r="H65" s="10" t="inlineStr">
        <is>
          <t>✓ Match</t>
        </is>
      </c>
    </row>
    <row r="66" ht="14" customHeight="1">
      <c r="A66" s="14" t="inlineStr">
        <is>
          <t>2024-03-15</t>
        </is>
      </c>
      <c r="B66" s="14" t="inlineStr">
        <is>
          <t>Atieno Ndirangu</t>
        </is>
      </c>
      <c r="C66" s="15" t="n">
        <v>2</v>
      </c>
      <c r="D66" s="15" t="n">
        <v>350</v>
      </c>
      <c r="E66" s="15" t="n">
        <v>700</v>
      </c>
      <c r="F66" s="19" t="inlineStr">
        <is>
          <t>ACC-SINV-2026-00305</t>
        </is>
      </c>
      <c r="G66" s="22" t="n">
        <v>700</v>
      </c>
      <c r="H66" s="10" t="inlineStr">
        <is>
          <t>✓ Match</t>
        </is>
      </c>
    </row>
    <row r="67" ht="14" customHeight="1">
      <c r="A67" s="7" t="inlineStr">
        <is>
          <t>2024-03-16</t>
        </is>
      </c>
      <c r="B67" s="7" t="inlineStr">
        <is>
          <t>Murimi Onyango</t>
        </is>
      </c>
      <c r="C67" s="8" t="n">
        <v>6</v>
      </c>
      <c r="D67" s="8" t="n">
        <v>350</v>
      </c>
      <c r="E67" s="8" t="n">
        <v>2100</v>
      </c>
      <c r="F67" s="67" t="inlineStr">
        <is>
          <t>ACC-SINV-2026-00306</t>
        </is>
      </c>
      <c r="G67" s="55" t="n">
        <v>2100</v>
      </c>
      <c r="H67" s="10" t="inlineStr">
        <is>
          <t>✓ Match</t>
        </is>
      </c>
    </row>
    <row r="68" ht="14" customHeight="1">
      <c r="A68" s="14" t="inlineStr">
        <is>
          <t>2024-03-19</t>
        </is>
      </c>
      <c r="B68" s="14" t="inlineStr">
        <is>
          <t>Murimi Onyango</t>
        </is>
      </c>
      <c r="C68" s="15" t="n">
        <v>7</v>
      </c>
      <c r="D68" s="15" t="n">
        <v>355</v>
      </c>
      <c r="E68" s="15" t="n">
        <v>2485</v>
      </c>
      <c r="F68" s="19" t="inlineStr">
        <is>
          <t>ACC-SINV-2026-00307</t>
        </is>
      </c>
      <c r="G68" s="22" t="n">
        <v>2485</v>
      </c>
      <c r="H68" s="10" t="inlineStr">
        <is>
          <t>✓ Match</t>
        </is>
      </c>
    </row>
    <row r="69" ht="14" customHeight="1">
      <c r="A69" s="7" t="inlineStr">
        <is>
          <t>2024-03-22</t>
        </is>
      </c>
      <c r="B69" s="7" t="inlineStr">
        <is>
          <t>Damaris Sigei</t>
        </is>
      </c>
      <c r="C69" s="8" t="n">
        <v>2</v>
      </c>
      <c r="D69" s="8" t="n">
        <v>350</v>
      </c>
      <c r="E69" s="8" t="n">
        <v>700</v>
      </c>
      <c r="F69" s="67" t="inlineStr">
        <is>
          <t>ACC-SINV-2026-00308</t>
        </is>
      </c>
      <c r="G69" s="55" t="n">
        <v>700</v>
      </c>
      <c r="H69" s="10" t="inlineStr">
        <is>
          <t>✓ Match</t>
        </is>
      </c>
    </row>
    <row r="70" ht="14" customHeight="1">
      <c r="A70" s="14" t="inlineStr">
        <is>
          <t>2024-03-23</t>
        </is>
      </c>
      <c r="B70" s="14" t="inlineStr">
        <is>
          <t>Damaris Sigei</t>
        </is>
      </c>
      <c r="C70" s="15" t="n">
        <v>1</v>
      </c>
      <c r="D70" s="15" t="n">
        <v>350</v>
      </c>
      <c r="E70" s="15" t="n">
        <v>350</v>
      </c>
      <c r="F70" s="19" t="inlineStr">
        <is>
          <t>ACC-SINV-2026-00309</t>
        </is>
      </c>
      <c r="G70" s="22" t="n">
        <v>350</v>
      </c>
      <c r="H70" s="10" t="inlineStr">
        <is>
          <t>✓ Match</t>
        </is>
      </c>
    </row>
    <row r="71" ht="14" customHeight="1">
      <c r="A71" s="7" t="inlineStr">
        <is>
          <t>2024-03-26</t>
        </is>
      </c>
      <c r="B71" s="7" t="inlineStr">
        <is>
          <t>Murimi Onyango</t>
        </is>
      </c>
      <c r="C71" s="8" t="n">
        <v>8</v>
      </c>
      <c r="D71" s="8" t="n">
        <v>340</v>
      </c>
      <c r="E71" s="8" t="n">
        <v>2720</v>
      </c>
      <c r="F71" s="67" t="inlineStr">
        <is>
          <t>ACC-SINV-2026-00310</t>
        </is>
      </c>
      <c r="G71" s="55" t="n">
        <v>2720</v>
      </c>
      <c r="H71" s="10" t="inlineStr">
        <is>
          <t>✓ Match</t>
        </is>
      </c>
    </row>
    <row r="72" ht="14" customHeight="1">
      <c r="A72" s="14" t="inlineStr">
        <is>
          <t>2024-04-05</t>
        </is>
      </c>
      <c r="B72" s="14" t="inlineStr">
        <is>
          <t>Damaris Sigei</t>
        </is>
      </c>
      <c r="C72" s="15" t="n">
        <v>1</v>
      </c>
      <c r="D72" s="15" t="n">
        <v>355</v>
      </c>
      <c r="E72" s="15" t="n">
        <v>355</v>
      </c>
      <c r="F72" s="19" t="inlineStr">
        <is>
          <t>ACC-SINV-2026-00312</t>
        </is>
      </c>
      <c r="G72" s="22" t="n">
        <v>355</v>
      </c>
      <c r="H72" s="10" t="inlineStr">
        <is>
          <t>✓ Match</t>
        </is>
      </c>
    </row>
    <row r="73" ht="14" customHeight="1">
      <c r="A73" s="7" t="inlineStr">
        <is>
          <t>2024-04-05</t>
        </is>
      </c>
      <c r="B73" s="7" t="inlineStr">
        <is>
          <t>Damaris Sigei</t>
        </is>
      </c>
      <c r="C73" s="8" t="n">
        <v>2</v>
      </c>
      <c r="D73" s="8" t="n">
        <v>350</v>
      </c>
      <c r="E73" s="8" t="n">
        <v>700</v>
      </c>
      <c r="F73" s="67" t="inlineStr">
        <is>
          <t>ACC-SINV-2026-00311</t>
        </is>
      </c>
      <c r="G73" s="55" t="n">
        <v>700</v>
      </c>
      <c r="H73" s="10" t="inlineStr">
        <is>
          <t>✓ Match</t>
        </is>
      </c>
    </row>
    <row r="74" ht="14" customHeight="1">
      <c r="A74" s="14" t="inlineStr">
        <is>
          <t>2024-04-09</t>
        </is>
      </c>
      <c r="B74" s="14" t="inlineStr">
        <is>
          <t>Atieno Ndirangu</t>
        </is>
      </c>
      <c r="C74" s="15" t="n">
        <v>2</v>
      </c>
      <c r="D74" s="15" t="n">
        <v>350</v>
      </c>
      <c r="E74" s="15" t="n">
        <v>700</v>
      </c>
      <c r="F74" s="19" t="inlineStr">
        <is>
          <t>ACC-SINV-2026-00313</t>
        </is>
      </c>
      <c r="G74" s="22" t="n">
        <v>700</v>
      </c>
      <c r="H74" s="10" t="inlineStr">
        <is>
          <t>✓ Match</t>
        </is>
      </c>
    </row>
    <row r="75" ht="14" customHeight="1">
      <c r="A75" s="7" t="inlineStr">
        <is>
          <t>2024-04-12</t>
        </is>
      </c>
      <c r="B75" s="7" t="inlineStr">
        <is>
          <t>Murimi Onyango</t>
        </is>
      </c>
      <c r="C75" s="8" t="n">
        <v>5</v>
      </c>
      <c r="D75" s="8" t="n">
        <v>345</v>
      </c>
      <c r="E75" s="8" t="n">
        <v>1725</v>
      </c>
      <c r="F75" s="67" t="inlineStr">
        <is>
          <t>ACC-SINV-2026-00314</t>
        </is>
      </c>
      <c r="G75" s="55" t="n">
        <v>1725</v>
      </c>
      <c r="H75" s="10" t="inlineStr">
        <is>
          <t>✓ Match</t>
        </is>
      </c>
    </row>
    <row r="76" ht="14" customHeight="1">
      <c r="A76" s="14" t="inlineStr">
        <is>
          <t>2024-04-16</t>
        </is>
      </c>
      <c r="B76" s="14" t="inlineStr">
        <is>
          <t>Damaris Sigei</t>
        </is>
      </c>
      <c r="C76" s="15" t="n">
        <v>3</v>
      </c>
      <c r="D76" s="15" t="n">
        <v>345</v>
      </c>
      <c r="E76" s="15" t="n">
        <v>1035</v>
      </c>
      <c r="F76" s="19" t="inlineStr">
        <is>
          <t>ACC-SINV-2026-00315</t>
        </is>
      </c>
      <c r="G76" s="22" t="n">
        <v>1035</v>
      </c>
      <c r="H76" s="10" t="inlineStr">
        <is>
          <t>✓ Match</t>
        </is>
      </c>
    </row>
    <row r="77" ht="14" customHeight="1">
      <c r="A77" s="7" t="inlineStr">
        <is>
          <t>2024-04-19</t>
        </is>
      </c>
      <c r="B77" s="7" t="inlineStr">
        <is>
          <t>Atieno Ndirangu</t>
        </is>
      </c>
      <c r="C77" s="8" t="n">
        <v>1</v>
      </c>
      <c r="D77" s="8" t="n">
        <v>345</v>
      </c>
      <c r="E77" s="8" t="n">
        <v>345</v>
      </c>
      <c r="F77" s="67" t="inlineStr">
        <is>
          <t>ACC-SINV-2026-00316</t>
        </is>
      </c>
      <c r="G77" s="55" t="n">
        <v>345</v>
      </c>
      <c r="H77" s="10" t="inlineStr">
        <is>
          <t>✓ Match</t>
        </is>
      </c>
    </row>
    <row r="78" ht="14" customHeight="1">
      <c r="A78" s="14" t="inlineStr">
        <is>
          <t>2024-04-19</t>
        </is>
      </c>
      <c r="B78" s="14" t="inlineStr">
        <is>
          <t>Apiyo Kibe</t>
        </is>
      </c>
      <c r="C78" s="15" t="n">
        <v>7</v>
      </c>
      <c r="D78" s="15" t="n">
        <v>350</v>
      </c>
      <c r="E78" s="15" t="n">
        <v>2450</v>
      </c>
      <c r="F78" s="19" t="inlineStr">
        <is>
          <t>ACC-SINV-2026-00317</t>
        </is>
      </c>
      <c r="G78" s="22" t="n">
        <v>2450</v>
      </c>
      <c r="H78" s="10" t="inlineStr">
        <is>
          <t>✓ Match</t>
        </is>
      </c>
    </row>
    <row r="79" ht="14" customHeight="1">
      <c r="A79" s="7" t="inlineStr">
        <is>
          <t>2024-04-23</t>
        </is>
      </c>
      <c r="B79" s="7" t="inlineStr">
        <is>
          <t>Murimi Onyango</t>
        </is>
      </c>
      <c r="C79" s="8" t="n">
        <v>4</v>
      </c>
      <c r="D79" s="8" t="n">
        <v>355</v>
      </c>
      <c r="E79" s="8" t="n">
        <v>1420</v>
      </c>
      <c r="F79" s="67" t="inlineStr">
        <is>
          <t>ACC-SINV-2026-00318</t>
        </is>
      </c>
      <c r="G79" s="55" t="n">
        <v>1420</v>
      </c>
      <c r="H79" s="10" t="inlineStr">
        <is>
          <t>✓ Match</t>
        </is>
      </c>
    </row>
    <row r="80" ht="14" customHeight="1">
      <c r="A80" s="14" t="inlineStr">
        <is>
          <t>2024-04-26</t>
        </is>
      </c>
      <c r="B80" s="14" t="inlineStr">
        <is>
          <t>Murimi Onyango</t>
        </is>
      </c>
      <c r="C80" s="15" t="n">
        <v>8</v>
      </c>
      <c r="D80" s="15" t="n">
        <v>350</v>
      </c>
      <c r="E80" s="15" t="n">
        <v>2800</v>
      </c>
      <c r="F80" s="19" t="inlineStr">
        <is>
          <t>ACC-SINV-2026-00319</t>
        </is>
      </c>
      <c r="G80" s="22" t="n">
        <v>2800</v>
      </c>
      <c r="H80" s="10" t="inlineStr">
        <is>
          <t>✓ Match</t>
        </is>
      </c>
    </row>
    <row r="81" ht="14" customHeight="1">
      <c r="A81" s="7" t="inlineStr">
        <is>
          <t>2024-04-30</t>
        </is>
      </c>
      <c r="B81" s="7" t="inlineStr">
        <is>
          <t>Atieno Ndirangu</t>
        </is>
      </c>
      <c r="C81" s="8" t="n">
        <v>3</v>
      </c>
      <c r="D81" s="8" t="n">
        <v>355</v>
      </c>
      <c r="E81" s="8" t="n">
        <v>1065</v>
      </c>
      <c r="F81" s="67" t="inlineStr">
        <is>
          <t>ACC-SINV-2026-00320</t>
        </is>
      </c>
      <c r="G81" s="55" t="n">
        <v>1065</v>
      </c>
      <c r="H81" s="10" t="inlineStr">
        <is>
          <t>✓ Match</t>
        </is>
      </c>
    </row>
    <row r="82" ht="14" customHeight="1">
      <c r="A82" s="14" t="inlineStr">
        <is>
          <t>2024-05-03</t>
        </is>
      </c>
      <c r="B82" s="14" t="inlineStr">
        <is>
          <t>Apiyo Kibe</t>
        </is>
      </c>
      <c r="C82" s="15" t="n">
        <v>6</v>
      </c>
      <c r="D82" s="15" t="n">
        <v>345</v>
      </c>
      <c r="E82" s="15" t="n">
        <v>2070</v>
      </c>
      <c r="F82" s="19" t="inlineStr">
        <is>
          <t>ACC-SINV-2026-00321</t>
        </is>
      </c>
      <c r="G82" s="22" t="n">
        <v>2070</v>
      </c>
      <c r="H82" s="10" t="inlineStr">
        <is>
          <t>✓ Match</t>
        </is>
      </c>
    </row>
    <row r="83" ht="14" customHeight="1">
      <c r="A83" s="7" t="inlineStr">
        <is>
          <t>2024-05-07</t>
        </is>
      </c>
      <c r="B83" s="7" t="inlineStr">
        <is>
          <t>Damaris Sigei</t>
        </is>
      </c>
      <c r="C83" s="8" t="n">
        <v>3</v>
      </c>
      <c r="D83" s="8" t="n">
        <v>345</v>
      </c>
      <c r="E83" s="8" t="n">
        <v>1035</v>
      </c>
      <c r="F83" s="67" t="inlineStr">
        <is>
          <t>ACC-SINV-2026-00323</t>
        </is>
      </c>
      <c r="G83" s="55" t="n">
        <v>1035</v>
      </c>
      <c r="H83" s="10" t="inlineStr">
        <is>
          <t>✓ Match</t>
        </is>
      </c>
    </row>
    <row r="84" ht="14" customHeight="1">
      <c r="A84" s="14" t="inlineStr">
        <is>
          <t>2024-05-07</t>
        </is>
      </c>
      <c r="B84" s="14" t="inlineStr">
        <is>
          <t>Damaris Sigei</t>
        </is>
      </c>
      <c r="C84" s="15" t="n">
        <v>1</v>
      </c>
      <c r="D84" s="15" t="n">
        <v>345</v>
      </c>
      <c r="E84" s="15" t="n">
        <v>345</v>
      </c>
      <c r="F84" s="19" t="inlineStr">
        <is>
          <t>ACC-SINV-2026-00322</t>
        </is>
      </c>
      <c r="G84" s="22" t="n">
        <v>345</v>
      </c>
      <c r="H84" s="10" t="inlineStr">
        <is>
          <t>✓ Match</t>
        </is>
      </c>
    </row>
    <row r="85" ht="14" customHeight="1">
      <c r="A85" s="7" t="inlineStr">
        <is>
          <t>2024-05-10</t>
        </is>
      </c>
      <c r="B85" s="7" t="inlineStr">
        <is>
          <t>Atieno Ndirangu</t>
        </is>
      </c>
      <c r="C85" s="8" t="n">
        <v>2</v>
      </c>
      <c r="D85" s="8" t="n">
        <v>355</v>
      </c>
      <c r="E85" s="8" t="n">
        <v>710</v>
      </c>
      <c r="F85" s="67" t="inlineStr">
        <is>
          <t>ACC-SINV-2026-00324</t>
        </is>
      </c>
      <c r="G85" s="55" t="n">
        <v>710</v>
      </c>
      <c r="H85" s="10" t="inlineStr">
        <is>
          <t>✓ Match</t>
        </is>
      </c>
    </row>
    <row r="86" ht="14" customHeight="1">
      <c r="A86" s="14" t="inlineStr">
        <is>
          <t>2024-05-17</t>
        </is>
      </c>
      <c r="B86" s="14" t="inlineStr">
        <is>
          <t>Murimi Onyango</t>
        </is>
      </c>
      <c r="C86" s="15" t="n">
        <v>6</v>
      </c>
      <c r="D86" s="15" t="n">
        <v>345</v>
      </c>
      <c r="E86" s="15" t="n">
        <v>2070</v>
      </c>
      <c r="F86" s="19" t="inlineStr">
        <is>
          <t>ACC-SINV-2026-00325</t>
        </is>
      </c>
      <c r="G86" s="22" t="n">
        <v>2070</v>
      </c>
      <c r="H86" s="10" t="inlineStr">
        <is>
          <t>✓ Match</t>
        </is>
      </c>
    </row>
    <row r="87" ht="14" customHeight="1">
      <c r="A87" s="7" t="inlineStr">
        <is>
          <t>2024-05-21</t>
        </is>
      </c>
      <c r="B87" s="7" t="inlineStr">
        <is>
          <t>Atieno Ndirangu</t>
        </is>
      </c>
      <c r="C87" s="8" t="n">
        <v>2</v>
      </c>
      <c r="D87" s="8" t="n">
        <v>355</v>
      </c>
      <c r="E87" s="8" t="n">
        <v>710</v>
      </c>
      <c r="F87" s="67" t="inlineStr">
        <is>
          <t>ACC-SINV-2026-00326</t>
        </is>
      </c>
      <c r="G87" s="55" t="n">
        <v>710</v>
      </c>
      <c r="H87" s="10" t="inlineStr">
        <is>
          <t>✓ Match</t>
        </is>
      </c>
    </row>
    <row r="88" ht="14" customHeight="1">
      <c r="A88" s="14" t="inlineStr">
        <is>
          <t>2024-05-24</t>
        </is>
      </c>
      <c r="B88" s="14" t="inlineStr">
        <is>
          <t>Apiyo Kibe</t>
        </is>
      </c>
      <c r="C88" s="15" t="n">
        <v>8</v>
      </c>
      <c r="D88" s="15" t="n">
        <v>340</v>
      </c>
      <c r="E88" s="15" t="n">
        <v>2720</v>
      </c>
      <c r="F88" s="19" t="inlineStr">
        <is>
          <t>ACC-SINV-2026-00327</t>
        </is>
      </c>
      <c r="G88" s="22" t="n">
        <v>2720</v>
      </c>
      <c r="H88" s="10" t="inlineStr">
        <is>
          <t>✓ Match</t>
        </is>
      </c>
    </row>
    <row r="89" ht="14" customHeight="1">
      <c r="A89" s="7" t="inlineStr">
        <is>
          <t>2024-05-28</t>
        </is>
      </c>
      <c r="B89" s="7" t="inlineStr">
        <is>
          <t>Damaris Sigei</t>
        </is>
      </c>
      <c r="C89" s="8" t="n">
        <v>1</v>
      </c>
      <c r="D89" s="8" t="n">
        <v>355</v>
      </c>
      <c r="E89" s="8" t="n">
        <v>355</v>
      </c>
      <c r="F89" s="67" t="inlineStr">
        <is>
          <t>ACC-SINV-2026-00328</t>
        </is>
      </c>
      <c r="G89" s="55" t="n">
        <v>355</v>
      </c>
      <c r="H89" s="10" t="inlineStr">
        <is>
          <t>✓ Match</t>
        </is>
      </c>
    </row>
    <row r="90" ht="14" customHeight="1">
      <c r="A90" s="14" t="inlineStr">
        <is>
          <t>2024-05-31</t>
        </is>
      </c>
      <c r="B90" s="14" t="inlineStr">
        <is>
          <t>Murimi Onyango</t>
        </is>
      </c>
      <c r="C90" s="15" t="n">
        <v>6</v>
      </c>
      <c r="D90" s="15" t="n">
        <v>345</v>
      </c>
      <c r="E90" s="15" t="n">
        <v>2070</v>
      </c>
      <c r="F90" s="19" t="inlineStr">
        <is>
          <t>ACC-SINV-2026-00329</t>
        </is>
      </c>
      <c r="G90" s="22" t="n">
        <v>2070</v>
      </c>
      <c r="H90" s="10" t="inlineStr">
        <is>
          <t>✓ Match</t>
        </is>
      </c>
    </row>
    <row r="91" ht="14" customHeight="1">
      <c r="A91" s="7" t="inlineStr">
        <is>
          <t>2024-06-04</t>
        </is>
      </c>
      <c r="B91" s="7" t="inlineStr">
        <is>
          <t>Atieno Ndirangu</t>
        </is>
      </c>
      <c r="C91" s="8" t="n">
        <v>1</v>
      </c>
      <c r="D91" s="8" t="n">
        <v>345</v>
      </c>
      <c r="E91" s="8" t="n">
        <v>345</v>
      </c>
      <c r="F91" s="67" t="inlineStr">
        <is>
          <t>ACC-SINV-2026-00330</t>
        </is>
      </c>
      <c r="G91" s="55" t="n">
        <v>345</v>
      </c>
      <c r="H91" s="10" t="inlineStr">
        <is>
          <t>✓ Match</t>
        </is>
      </c>
    </row>
    <row r="92" ht="14" customHeight="1">
      <c r="A92" s="14" t="inlineStr">
        <is>
          <t>2024-06-07</t>
        </is>
      </c>
      <c r="B92" s="14" t="inlineStr">
        <is>
          <t>Apiyo Kibe</t>
        </is>
      </c>
      <c r="C92" s="15" t="n">
        <v>8</v>
      </c>
      <c r="D92" s="15" t="n">
        <v>340</v>
      </c>
      <c r="E92" s="15" t="n">
        <v>2720</v>
      </c>
      <c r="F92" s="19" t="inlineStr">
        <is>
          <t>ACC-SINV-2026-00331</t>
        </is>
      </c>
      <c r="G92" s="22" t="n">
        <v>2720</v>
      </c>
      <c r="H92" s="10" t="inlineStr">
        <is>
          <t>✓ Match</t>
        </is>
      </c>
    </row>
    <row r="93" ht="14" customHeight="1">
      <c r="A93" s="7" t="inlineStr">
        <is>
          <t>2024-06-11</t>
        </is>
      </c>
      <c r="B93" s="7" t="inlineStr">
        <is>
          <t>Damaris Sigei</t>
        </is>
      </c>
      <c r="C93" s="8" t="n">
        <v>2</v>
      </c>
      <c r="D93" s="8" t="n">
        <v>335</v>
      </c>
      <c r="E93" s="8" t="n">
        <v>670</v>
      </c>
      <c r="F93" s="67" t="inlineStr">
        <is>
          <t>ACC-SINV-2026-00332</t>
        </is>
      </c>
      <c r="G93" s="55" t="n">
        <v>670</v>
      </c>
      <c r="H93" s="10" t="inlineStr">
        <is>
          <t>✓ Match</t>
        </is>
      </c>
    </row>
    <row r="94" ht="14" customHeight="1">
      <c r="A94" s="14" t="inlineStr">
        <is>
          <t>2024-06-11</t>
        </is>
      </c>
      <c r="B94" s="14" t="inlineStr">
        <is>
          <t>Apiyo Kibe</t>
        </is>
      </c>
      <c r="C94" s="15" t="n">
        <v>4</v>
      </c>
      <c r="D94" s="15" t="n">
        <v>345</v>
      </c>
      <c r="E94" s="15" t="n">
        <v>1380</v>
      </c>
      <c r="F94" s="19" t="inlineStr">
        <is>
          <t>ACC-SINV-2026-00333</t>
        </is>
      </c>
      <c r="G94" s="22" t="n">
        <v>1380</v>
      </c>
      <c r="H94" s="10" t="inlineStr">
        <is>
          <t>✓ Match</t>
        </is>
      </c>
    </row>
    <row r="95" ht="14" customHeight="1">
      <c r="A95" s="7" t="inlineStr">
        <is>
          <t>2024-06-14</t>
        </is>
      </c>
      <c r="B95" s="7" t="inlineStr">
        <is>
          <t>Murimi Onyango</t>
        </is>
      </c>
      <c r="C95" s="8" t="n">
        <v>8</v>
      </c>
      <c r="D95" s="8" t="n">
        <v>345</v>
      </c>
      <c r="E95" s="8" t="n">
        <v>2760</v>
      </c>
      <c r="F95" s="67" t="inlineStr">
        <is>
          <t>ACC-SINV-2026-00334</t>
        </is>
      </c>
      <c r="G95" s="55" t="n">
        <v>2760</v>
      </c>
      <c r="H95" s="10" t="inlineStr">
        <is>
          <t>✓ Match</t>
        </is>
      </c>
    </row>
    <row r="96" ht="14" customHeight="1">
      <c r="A96" s="14" t="inlineStr">
        <is>
          <t>2024-06-18</t>
        </is>
      </c>
      <c r="B96" s="14" t="inlineStr">
        <is>
          <t>Atieno Ndirangu</t>
        </is>
      </c>
      <c r="C96" s="15" t="n">
        <v>3</v>
      </c>
      <c r="D96" s="15" t="n">
        <v>330</v>
      </c>
      <c r="E96" s="15" t="n">
        <v>990</v>
      </c>
      <c r="F96" s="19" t="inlineStr">
        <is>
          <t>ACC-SINV-2026-00335</t>
        </is>
      </c>
      <c r="G96" s="22" t="n">
        <v>990</v>
      </c>
      <c r="H96" s="10" t="inlineStr">
        <is>
          <t>✓ Match</t>
        </is>
      </c>
    </row>
    <row r="97" ht="14" customHeight="1">
      <c r="A97" s="7" t="inlineStr">
        <is>
          <t>2024-06-25</t>
        </is>
      </c>
      <c r="B97" s="7" t="inlineStr">
        <is>
          <t>Murimi Onyango</t>
        </is>
      </c>
      <c r="C97" s="8" t="n">
        <v>4</v>
      </c>
      <c r="D97" s="8" t="n">
        <v>350</v>
      </c>
      <c r="E97" s="8" t="n">
        <v>1400</v>
      </c>
      <c r="F97" s="67" t="inlineStr">
        <is>
          <t>ACC-SINV-2026-00336</t>
        </is>
      </c>
      <c r="G97" s="55" t="n">
        <v>1400</v>
      </c>
      <c r="H97" s="10" t="inlineStr">
        <is>
          <t>✓ Match</t>
        </is>
      </c>
    </row>
    <row r="98" ht="14" customHeight="1">
      <c r="A98" s="14" t="inlineStr">
        <is>
          <t>2024-06-28</t>
        </is>
      </c>
      <c r="B98" s="14" t="inlineStr">
        <is>
          <t>Atieno Ndirangu</t>
        </is>
      </c>
      <c r="C98" s="15" t="n">
        <v>3</v>
      </c>
      <c r="D98" s="15" t="n">
        <v>335</v>
      </c>
      <c r="E98" s="15" t="n">
        <v>1005</v>
      </c>
      <c r="F98" s="19" t="inlineStr">
        <is>
          <t>ACC-SINV-2026-00337</t>
        </is>
      </c>
      <c r="G98" s="22" t="n">
        <v>1005</v>
      </c>
      <c r="H98" s="10" t="inlineStr">
        <is>
          <t>✓ Match</t>
        </is>
      </c>
    </row>
    <row r="99" ht="14" customHeight="1">
      <c r="A99" s="7" t="inlineStr">
        <is>
          <t>2024-07-02</t>
        </is>
      </c>
      <c r="B99" s="7" t="inlineStr">
        <is>
          <t>Murimi Onyango</t>
        </is>
      </c>
      <c r="C99" s="8" t="n">
        <v>7</v>
      </c>
      <c r="D99" s="8" t="n">
        <v>340</v>
      </c>
      <c r="E99" s="8" t="n">
        <v>2380</v>
      </c>
      <c r="F99" s="67" t="inlineStr">
        <is>
          <t>ACC-SINV-2026-00338</t>
        </is>
      </c>
      <c r="G99" s="55" t="n">
        <v>2380</v>
      </c>
      <c r="H99" s="10" t="inlineStr">
        <is>
          <t>✓ Match</t>
        </is>
      </c>
    </row>
    <row r="100" ht="14" customHeight="1">
      <c r="A100" s="14" t="inlineStr">
        <is>
          <t>2024-07-05</t>
        </is>
      </c>
      <c r="B100" s="14" t="inlineStr">
        <is>
          <t>Damaris Sigei</t>
        </is>
      </c>
      <c r="C100" s="15" t="n">
        <v>1</v>
      </c>
      <c r="D100" s="15" t="n">
        <v>335</v>
      </c>
      <c r="E100" s="15" t="n">
        <v>335</v>
      </c>
      <c r="F100" s="19" t="inlineStr">
        <is>
          <t>ACC-SINV-2026-00339</t>
        </is>
      </c>
      <c r="G100" s="22" t="n">
        <v>335</v>
      </c>
      <c r="H100" s="10" t="inlineStr">
        <is>
          <t>✓ Match</t>
        </is>
      </c>
    </row>
    <row r="101" ht="14" customHeight="1">
      <c r="A101" s="7" t="inlineStr">
        <is>
          <t>2024-07-09</t>
        </is>
      </c>
      <c r="B101" s="7" t="inlineStr">
        <is>
          <t>Atieno Ndirangu</t>
        </is>
      </c>
      <c r="C101" s="8" t="n">
        <v>1</v>
      </c>
      <c r="D101" s="8" t="n">
        <v>350</v>
      </c>
      <c r="E101" s="8" t="n">
        <v>350</v>
      </c>
      <c r="F101" s="67" t="inlineStr">
        <is>
          <t>ACC-SINV-2026-00340</t>
        </is>
      </c>
      <c r="G101" s="55" t="n">
        <v>350</v>
      </c>
      <c r="H101" s="10" t="inlineStr">
        <is>
          <t>✓ Match</t>
        </is>
      </c>
    </row>
    <row r="102" ht="14" customHeight="1">
      <c r="A102" s="14" t="inlineStr">
        <is>
          <t>2024-07-12</t>
        </is>
      </c>
      <c r="B102" s="14" t="inlineStr">
        <is>
          <t>Atieno Ndirangu</t>
        </is>
      </c>
      <c r="C102" s="15" t="n">
        <v>2</v>
      </c>
      <c r="D102" s="15" t="n">
        <v>330</v>
      </c>
      <c r="E102" s="15" t="n">
        <v>660</v>
      </c>
      <c r="F102" s="19" t="inlineStr">
        <is>
          <t>ACC-SINV-2026-00341</t>
        </is>
      </c>
      <c r="G102" s="22" t="n">
        <v>660</v>
      </c>
      <c r="H102" s="10" t="inlineStr">
        <is>
          <t>✓ Match</t>
        </is>
      </c>
    </row>
    <row r="103" ht="14" customHeight="1">
      <c r="A103" s="7" t="inlineStr">
        <is>
          <t>2024-07-16</t>
        </is>
      </c>
      <c r="B103" s="7" t="inlineStr">
        <is>
          <t>Murimi Onyango</t>
        </is>
      </c>
      <c r="C103" s="8" t="n">
        <v>6</v>
      </c>
      <c r="D103" s="8" t="n">
        <v>335</v>
      </c>
      <c r="E103" s="8" t="n">
        <v>2010</v>
      </c>
      <c r="F103" s="67" t="inlineStr">
        <is>
          <t>ACC-SINV-2026-00342</t>
        </is>
      </c>
      <c r="G103" s="55" t="n">
        <v>2010</v>
      </c>
      <c r="H103" s="10" t="inlineStr">
        <is>
          <t>✓ Match</t>
        </is>
      </c>
    </row>
    <row r="104" ht="14" customHeight="1">
      <c r="A104" s="14" t="inlineStr">
        <is>
          <t>2024-07-19</t>
        </is>
      </c>
      <c r="B104" s="14" t="inlineStr">
        <is>
          <t>Atieno Ndirangu</t>
        </is>
      </c>
      <c r="C104" s="15" t="n">
        <v>2</v>
      </c>
      <c r="D104" s="15" t="n">
        <v>340</v>
      </c>
      <c r="E104" s="15" t="n">
        <v>680</v>
      </c>
      <c r="F104" s="19" t="inlineStr">
        <is>
          <t>ACC-SINV-2026-00343</t>
        </is>
      </c>
      <c r="G104" s="22" t="n">
        <v>680</v>
      </c>
      <c r="H104" s="10" t="inlineStr">
        <is>
          <t>✓ Match</t>
        </is>
      </c>
    </row>
    <row r="105" ht="14" customHeight="1">
      <c r="A105" s="7" t="inlineStr">
        <is>
          <t>2024-07-23</t>
        </is>
      </c>
      <c r="B105" s="7" t="inlineStr">
        <is>
          <t>Atieno Ndirangu</t>
        </is>
      </c>
      <c r="C105" s="8" t="n">
        <v>2</v>
      </c>
      <c r="D105" s="8" t="n">
        <v>330</v>
      </c>
      <c r="E105" s="8" t="n">
        <v>660</v>
      </c>
      <c r="F105" s="67" t="inlineStr">
        <is>
          <t>ACC-SINV-2026-00344</t>
        </is>
      </c>
      <c r="G105" s="55" t="n">
        <v>660</v>
      </c>
      <c r="H105" s="10" t="inlineStr">
        <is>
          <t>✓ Match</t>
        </is>
      </c>
    </row>
    <row r="106" ht="14" customHeight="1">
      <c r="A106" s="14" t="inlineStr">
        <is>
          <t>2024-07-26</t>
        </is>
      </c>
      <c r="B106" s="14" t="inlineStr">
        <is>
          <t>Apiyo Kibe</t>
        </is>
      </c>
      <c r="C106" s="15" t="n">
        <v>8</v>
      </c>
      <c r="D106" s="15" t="n">
        <v>335</v>
      </c>
      <c r="E106" s="15" t="n">
        <v>2680</v>
      </c>
      <c r="F106" s="19" t="inlineStr">
        <is>
          <t>ACC-SINV-2026-00345</t>
        </is>
      </c>
      <c r="G106" s="22" t="n">
        <v>2680</v>
      </c>
      <c r="H106" s="10" t="inlineStr">
        <is>
          <t>✓ Match</t>
        </is>
      </c>
    </row>
    <row r="107" ht="14" customHeight="1">
      <c r="A107" s="7" t="inlineStr">
        <is>
          <t>2024-07-30</t>
        </is>
      </c>
      <c r="B107" s="7" t="inlineStr">
        <is>
          <t>Atieno Ndirangu</t>
        </is>
      </c>
      <c r="C107" s="8" t="n">
        <v>1</v>
      </c>
      <c r="D107" s="8" t="n">
        <v>345</v>
      </c>
      <c r="E107" s="8" t="n">
        <v>345</v>
      </c>
      <c r="F107" s="67" t="inlineStr">
        <is>
          <t>ACC-SINV-2026-00346</t>
        </is>
      </c>
      <c r="G107" s="55" t="n">
        <v>345</v>
      </c>
      <c r="H107" s="10" t="inlineStr">
        <is>
          <t>✓ Match</t>
        </is>
      </c>
    </row>
    <row r="108" ht="14" customHeight="1">
      <c r="A108" s="14" t="inlineStr">
        <is>
          <t>2024-08-02</t>
        </is>
      </c>
      <c r="B108" s="14" t="inlineStr">
        <is>
          <t>Atieno Ndirangu</t>
        </is>
      </c>
      <c r="C108" s="15" t="n">
        <v>3</v>
      </c>
      <c r="D108" s="15" t="n">
        <v>340</v>
      </c>
      <c r="E108" s="15" t="n">
        <v>1020</v>
      </c>
      <c r="F108" s="19" t="inlineStr">
        <is>
          <t>ACC-SINV-2026-00347</t>
        </is>
      </c>
      <c r="G108" s="22" t="n">
        <v>1020</v>
      </c>
      <c r="H108" s="10" t="inlineStr">
        <is>
          <t>✓ Match</t>
        </is>
      </c>
    </row>
    <row r="109" ht="14" customHeight="1">
      <c r="A109" s="7" t="inlineStr">
        <is>
          <t>2024-08-02</t>
        </is>
      </c>
      <c r="B109" s="7" t="inlineStr">
        <is>
          <t>Damaris Sigei</t>
        </is>
      </c>
      <c r="C109" s="8" t="n">
        <v>2</v>
      </c>
      <c r="D109" s="8" t="n">
        <v>340</v>
      </c>
      <c r="E109" s="8" t="n">
        <v>680</v>
      </c>
      <c r="F109" s="67" t="inlineStr">
        <is>
          <t>ACC-SINV-2026-00348</t>
        </is>
      </c>
      <c r="G109" s="55" t="n">
        <v>680</v>
      </c>
      <c r="H109" s="10" t="inlineStr">
        <is>
          <t>✓ Match</t>
        </is>
      </c>
    </row>
    <row r="110" ht="14" customHeight="1">
      <c r="A110" s="14" t="inlineStr">
        <is>
          <t>2024-08-03</t>
        </is>
      </c>
      <c r="B110" s="14" t="inlineStr">
        <is>
          <t>Apiyo Kibe</t>
        </is>
      </c>
      <c r="C110" s="15" t="n">
        <v>4</v>
      </c>
      <c r="D110" s="15" t="n">
        <v>350</v>
      </c>
      <c r="E110" s="15" t="n">
        <v>1400</v>
      </c>
      <c r="F110" s="19" t="inlineStr">
        <is>
          <t>ACC-SINV-2026-00349</t>
        </is>
      </c>
      <c r="G110" s="22" t="n">
        <v>1400</v>
      </c>
      <c r="H110" s="10" t="inlineStr">
        <is>
          <t>✓ Match</t>
        </is>
      </c>
    </row>
    <row r="111" ht="14" customHeight="1">
      <c r="A111" s="7" t="inlineStr">
        <is>
          <t>2024-08-06</t>
        </is>
      </c>
      <c r="B111" s="7" t="inlineStr">
        <is>
          <t>Atieno Ndirangu</t>
        </is>
      </c>
      <c r="C111" s="8" t="n">
        <v>1</v>
      </c>
      <c r="D111" s="8" t="n">
        <v>350</v>
      </c>
      <c r="E111" s="8" t="n">
        <v>350</v>
      </c>
      <c r="F111" s="67" t="inlineStr">
        <is>
          <t>ACC-SINV-2026-00350</t>
        </is>
      </c>
      <c r="G111" s="55" t="n">
        <v>350</v>
      </c>
      <c r="H111" s="10" t="inlineStr">
        <is>
          <t>✓ Match</t>
        </is>
      </c>
    </row>
    <row r="112" ht="14" customHeight="1">
      <c r="A112" s="14" t="inlineStr">
        <is>
          <t>2024-08-09</t>
        </is>
      </c>
      <c r="B112" s="14" t="inlineStr">
        <is>
          <t>Damaris Sigei</t>
        </is>
      </c>
      <c r="C112" s="15" t="n">
        <v>1</v>
      </c>
      <c r="D112" s="15" t="n">
        <v>350</v>
      </c>
      <c r="E112" s="15" t="n">
        <v>350</v>
      </c>
      <c r="F112" s="19" t="inlineStr">
        <is>
          <t>ACC-SINV-2026-00351</t>
        </is>
      </c>
      <c r="G112" s="22" t="n">
        <v>350</v>
      </c>
      <c r="H112" s="10" t="inlineStr">
        <is>
          <t>✓ Match</t>
        </is>
      </c>
    </row>
    <row r="113" ht="14" customHeight="1">
      <c r="A113" s="7" t="inlineStr">
        <is>
          <t>2024-08-13</t>
        </is>
      </c>
      <c r="B113" s="7" t="inlineStr">
        <is>
          <t>Damaris Sigei</t>
        </is>
      </c>
      <c r="C113" s="8" t="n">
        <v>1</v>
      </c>
      <c r="D113" s="8" t="n">
        <v>345</v>
      </c>
      <c r="E113" s="8" t="n">
        <v>345</v>
      </c>
      <c r="F113" s="67" t="inlineStr">
        <is>
          <t>ACC-SINV-2026-00352</t>
        </is>
      </c>
      <c r="G113" s="55" t="n">
        <v>345</v>
      </c>
      <c r="H113" s="10" t="inlineStr">
        <is>
          <t>✓ Match</t>
        </is>
      </c>
    </row>
    <row r="114" ht="14" customHeight="1">
      <c r="A114" s="14" t="inlineStr">
        <is>
          <t>2024-08-16</t>
        </is>
      </c>
      <c r="B114" s="14" t="inlineStr">
        <is>
          <t>Apiyo Kibe</t>
        </is>
      </c>
      <c r="C114" s="15" t="n">
        <v>6</v>
      </c>
      <c r="D114" s="15" t="n">
        <v>335</v>
      </c>
      <c r="E114" s="15" t="n">
        <v>2010</v>
      </c>
      <c r="F114" s="19" t="inlineStr">
        <is>
          <t>ACC-SINV-2026-00353</t>
        </is>
      </c>
      <c r="G114" s="22" t="n">
        <v>2010</v>
      </c>
      <c r="H114" s="10" t="inlineStr">
        <is>
          <t>✓ Match</t>
        </is>
      </c>
    </row>
    <row r="115" ht="14" customHeight="1">
      <c r="A115" s="7" t="inlineStr">
        <is>
          <t>2024-08-20</t>
        </is>
      </c>
      <c r="B115" s="7" t="inlineStr">
        <is>
          <t>Murimi Onyango</t>
        </is>
      </c>
      <c r="C115" s="8" t="n">
        <v>8</v>
      </c>
      <c r="D115" s="8" t="n">
        <v>345</v>
      </c>
      <c r="E115" s="8" t="n">
        <v>2760</v>
      </c>
      <c r="F115" s="67" t="inlineStr">
        <is>
          <t>ACC-SINV-2026-00354</t>
        </is>
      </c>
      <c r="G115" s="55" t="n">
        <v>2760</v>
      </c>
      <c r="H115" s="10" t="inlineStr">
        <is>
          <t>✓ Match</t>
        </is>
      </c>
    </row>
    <row r="116" ht="14" customHeight="1">
      <c r="A116" s="14" t="inlineStr">
        <is>
          <t>2024-08-23</t>
        </is>
      </c>
      <c r="B116" s="14" t="inlineStr">
        <is>
          <t>Murimi Onyango</t>
        </is>
      </c>
      <c r="C116" s="15" t="n">
        <v>7</v>
      </c>
      <c r="D116" s="15" t="n">
        <v>335</v>
      </c>
      <c r="E116" s="15" t="n">
        <v>2345</v>
      </c>
      <c r="F116" s="19" t="inlineStr">
        <is>
          <t>ACC-SINV-2026-00355</t>
        </is>
      </c>
      <c r="G116" s="22" t="n">
        <v>2345</v>
      </c>
      <c r="H116" s="10" t="inlineStr">
        <is>
          <t>✓ Match</t>
        </is>
      </c>
    </row>
    <row r="117" ht="14" customHeight="1">
      <c r="A117" s="7" t="inlineStr">
        <is>
          <t>2024-08-23</t>
        </is>
      </c>
      <c r="B117" s="7" t="inlineStr">
        <is>
          <t>Damaris Sigei</t>
        </is>
      </c>
      <c r="C117" s="8" t="n">
        <v>1</v>
      </c>
      <c r="D117" s="8" t="n">
        <v>345</v>
      </c>
      <c r="E117" s="8" t="n">
        <v>345</v>
      </c>
      <c r="F117" s="67" t="inlineStr">
        <is>
          <t>ACC-SINV-2026-00356</t>
        </is>
      </c>
      <c r="G117" s="55" t="n">
        <v>345</v>
      </c>
      <c r="H117" s="10" t="inlineStr">
        <is>
          <t>✓ Match</t>
        </is>
      </c>
    </row>
    <row r="118" ht="14" customHeight="1">
      <c r="A118" s="14" t="inlineStr">
        <is>
          <t>2024-08-24</t>
        </is>
      </c>
      <c r="B118" s="14" t="inlineStr">
        <is>
          <t>Atieno Ndirangu</t>
        </is>
      </c>
      <c r="C118" s="15" t="n">
        <v>3</v>
      </c>
      <c r="D118" s="15" t="n">
        <v>340</v>
      </c>
      <c r="E118" s="15" t="n">
        <v>1020</v>
      </c>
      <c r="F118" s="19" t="inlineStr">
        <is>
          <t>ACC-SINV-2026-00357</t>
        </is>
      </c>
      <c r="G118" s="22" t="n">
        <v>1020</v>
      </c>
      <c r="H118" s="10" t="inlineStr">
        <is>
          <t>✓ Match</t>
        </is>
      </c>
    </row>
    <row r="119" ht="14" customHeight="1">
      <c r="A119" s="7" t="inlineStr">
        <is>
          <t>2024-08-27</t>
        </is>
      </c>
      <c r="B119" s="7" t="inlineStr">
        <is>
          <t>Murimi Onyango</t>
        </is>
      </c>
      <c r="C119" s="8" t="n">
        <v>5</v>
      </c>
      <c r="D119" s="8" t="n">
        <v>330</v>
      </c>
      <c r="E119" s="8" t="n">
        <v>1650</v>
      </c>
      <c r="F119" s="67" t="inlineStr">
        <is>
          <t>ACC-SINV-2026-00358</t>
        </is>
      </c>
      <c r="G119" s="55" t="n">
        <v>1650</v>
      </c>
      <c r="H119" s="10" t="inlineStr">
        <is>
          <t>✓ Match</t>
        </is>
      </c>
    </row>
    <row r="120" ht="14" customHeight="1">
      <c r="A120" s="14" t="inlineStr">
        <is>
          <t>2024-08-30</t>
        </is>
      </c>
      <c r="B120" s="14" t="inlineStr">
        <is>
          <t>Murimi Onyango</t>
        </is>
      </c>
      <c r="C120" s="15" t="n">
        <v>5</v>
      </c>
      <c r="D120" s="15" t="n">
        <v>330</v>
      </c>
      <c r="E120" s="15" t="n">
        <v>1650</v>
      </c>
      <c r="F120" s="19" t="inlineStr">
        <is>
          <t>ACC-SINV-2026-00359</t>
        </is>
      </c>
      <c r="G120" s="22" t="n">
        <v>1650</v>
      </c>
      <c r="H120" s="10" t="inlineStr">
        <is>
          <t>✓ Match</t>
        </is>
      </c>
    </row>
    <row r="121" ht="14" customHeight="1">
      <c r="A121" s="7" t="inlineStr">
        <is>
          <t>2024-09-06</t>
        </is>
      </c>
      <c r="B121" s="7" t="inlineStr">
        <is>
          <t>Apiyo Kibe</t>
        </is>
      </c>
      <c r="C121" s="8" t="n">
        <v>8</v>
      </c>
      <c r="D121" s="8" t="n">
        <v>355</v>
      </c>
      <c r="E121" s="8" t="n">
        <v>2840</v>
      </c>
      <c r="F121" s="67" t="inlineStr">
        <is>
          <t>ACC-SINV-2026-00360</t>
        </is>
      </c>
      <c r="G121" s="55" t="n">
        <v>2840</v>
      </c>
      <c r="H121" s="10" t="inlineStr">
        <is>
          <t>✓ Match</t>
        </is>
      </c>
    </row>
    <row r="122" ht="14" customHeight="1">
      <c r="A122" s="14" t="inlineStr">
        <is>
          <t>2024-09-10</t>
        </is>
      </c>
      <c r="B122" s="14" t="inlineStr">
        <is>
          <t>Atieno Ndirangu</t>
        </is>
      </c>
      <c r="C122" s="15" t="n">
        <v>1</v>
      </c>
      <c r="D122" s="15" t="n">
        <v>360</v>
      </c>
      <c r="E122" s="15" t="n">
        <v>360</v>
      </c>
      <c r="F122" s="19" t="inlineStr">
        <is>
          <t>ACC-SINV-2026-00361</t>
        </is>
      </c>
      <c r="G122" s="22" t="n">
        <v>360</v>
      </c>
      <c r="H122" s="10" t="inlineStr">
        <is>
          <t>✓ Match</t>
        </is>
      </c>
    </row>
    <row r="123" ht="14" customHeight="1">
      <c r="A123" s="7" t="inlineStr">
        <is>
          <t>2024-09-13</t>
        </is>
      </c>
      <c r="B123" s="7" t="inlineStr">
        <is>
          <t>Damaris Sigei</t>
        </is>
      </c>
      <c r="C123" s="8" t="n">
        <v>3</v>
      </c>
      <c r="D123" s="8" t="n">
        <v>355</v>
      </c>
      <c r="E123" s="8" t="n">
        <v>1065</v>
      </c>
      <c r="F123" s="67" t="inlineStr">
        <is>
          <t>ACC-SINV-2026-00362</t>
        </is>
      </c>
      <c r="G123" s="55" t="n">
        <v>1065</v>
      </c>
      <c r="H123" s="10" t="inlineStr">
        <is>
          <t>✓ Match</t>
        </is>
      </c>
    </row>
    <row r="124" ht="14" customHeight="1">
      <c r="A124" s="14" t="inlineStr">
        <is>
          <t>2024-09-17</t>
        </is>
      </c>
      <c r="B124" s="14" t="inlineStr">
        <is>
          <t>Murimi Onyango</t>
        </is>
      </c>
      <c r="C124" s="15" t="n">
        <v>4</v>
      </c>
      <c r="D124" s="15" t="n">
        <v>340</v>
      </c>
      <c r="E124" s="15" t="n">
        <v>1360</v>
      </c>
      <c r="F124" s="19" t="inlineStr">
        <is>
          <t>ACC-SINV-2026-00363</t>
        </is>
      </c>
      <c r="G124" s="22" t="n">
        <v>1360</v>
      </c>
      <c r="H124" s="10" t="inlineStr">
        <is>
          <t>✓ Match</t>
        </is>
      </c>
    </row>
    <row r="125" ht="14" customHeight="1">
      <c r="A125" s="7" t="inlineStr">
        <is>
          <t>2024-09-20</t>
        </is>
      </c>
      <c r="B125" s="7" t="inlineStr">
        <is>
          <t>Atieno Ndirangu</t>
        </is>
      </c>
      <c r="C125" s="8" t="n">
        <v>3</v>
      </c>
      <c r="D125" s="8" t="n">
        <v>360</v>
      </c>
      <c r="E125" s="8" t="n">
        <v>1080</v>
      </c>
      <c r="F125" s="67" t="inlineStr">
        <is>
          <t>ACC-SINV-2026-00364</t>
        </is>
      </c>
      <c r="G125" s="55" t="n">
        <v>1080</v>
      </c>
      <c r="H125" s="10" t="inlineStr">
        <is>
          <t>✓ Match</t>
        </is>
      </c>
    </row>
    <row r="126" ht="14" customHeight="1">
      <c r="A126" s="14" t="inlineStr">
        <is>
          <t>2024-09-24</t>
        </is>
      </c>
      <c r="B126" s="14" t="inlineStr">
        <is>
          <t>Murimi Onyango</t>
        </is>
      </c>
      <c r="C126" s="15" t="n">
        <v>5</v>
      </c>
      <c r="D126" s="15" t="n">
        <v>360</v>
      </c>
      <c r="E126" s="15" t="n">
        <v>1800</v>
      </c>
      <c r="F126" s="19" t="inlineStr">
        <is>
          <t>ACC-SINV-2026-00365</t>
        </is>
      </c>
      <c r="G126" s="22" t="n">
        <v>1800</v>
      </c>
      <c r="H126" s="10" t="inlineStr">
        <is>
          <t>✓ Match</t>
        </is>
      </c>
    </row>
    <row r="127" ht="14" customHeight="1">
      <c r="A127" s="7" t="inlineStr">
        <is>
          <t>2024-09-27</t>
        </is>
      </c>
      <c r="B127" s="7" t="inlineStr">
        <is>
          <t>Apiyo Kibe</t>
        </is>
      </c>
      <c r="C127" s="8" t="n">
        <v>6</v>
      </c>
      <c r="D127" s="8" t="n">
        <v>355</v>
      </c>
      <c r="E127" s="8" t="n">
        <v>2130</v>
      </c>
      <c r="F127" s="67" t="inlineStr">
        <is>
          <t>ACC-SINV-2026-00366</t>
        </is>
      </c>
      <c r="G127" s="55" t="n">
        <v>2130</v>
      </c>
      <c r="H127" s="10" t="inlineStr">
        <is>
          <t>✓ Match</t>
        </is>
      </c>
    </row>
    <row r="128" ht="14" customHeight="1">
      <c r="A128" s="14" t="inlineStr">
        <is>
          <t>2024-10-01</t>
        </is>
      </c>
      <c r="B128" s="14" t="inlineStr">
        <is>
          <t>Murimi Onyango</t>
        </is>
      </c>
      <c r="C128" s="15" t="n">
        <v>8</v>
      </c>
      <c r="D128" s="15" t="n">
        <v>360</v>
      </c>
      <c r="E128" s="15" t="n">
        <v>2880</v>
      </c>
      <c r="F128" s="19" t="inlineStr">
        <is>
          <t>ACC-SINV-2026-00367</t>
        </is>
      </c>
      <c r="G128" s="22" t="n">
        <v>2880</v>
      </c>
      <c r="H128" s="10" t="inlineStr">
        <is>
          <t>✓ Match</t>
        </is>
      </c>
    </row>
    <row r="129" ht="14" customHeight="1">
      <c r="A129" s="7" t="inlineStr">
        <is>
          <t>2024-10-01</t>
        </is>
      </c>
      <c r="B129" s="7" t="inlineStr">
        <is>
          <t>Murimi Onyango</t>
        </is>
      </c>
      <c r="C129" s="8" t="n">
        <v>4</v>
      </c>
      <c r="D129" s="8" t="n">
        <v>350</v>
      </c>
      <c r="E129" s="8" t="n">
        <v>1400</v>
      </c>
      <c r="F129" s="67" t="inlineStr">
        <is>
          <t>ACC-SINV-2026-00368</t>
        </is>
      </c>
      <c r="G129" s="55" t="n">
        <v>1400</v>
      </c>
      <c r="H129" s="10" t="inlineStr">
        <is>
          <t>✓ Match</t>
        </is>
      </c>
    </row>
    <row r="130" ht="14" customHeight="1">
      <c r="A130" s="14" t="inlineStr">
        <is>
          <t>2024-10-04</t>
        </is>
      </c>
      <c r="B130" s="14" t="inlineStr">
        <is>
          <t>Damaris Sigei</t>
        </is>
      </c>
      <c r="C130" s="15" t="n">
        <v>1</v>
      </c>
      <c r="D130" s="15" t="n">
        <v>355</v>
      </c>
      <c r="E130" s="15" t="n">
        <v>355</v>
      </c>
      <c r="F130" s="19" t="inlineStr">
        <is>
          <t>ACC-SINV-2026-00369</t>
        </is>
      </c>
      <c r="G130" s="22" t="n">
        <v>355</v>
      </c>
      <c r="H130" s="10" t="inlineStr">
        <is>
          <t>✓ Match</t>
        </is>
      </c>
    </row>
    <row r="131" ht="14" customHeight="1">
      <c r="A131" s="7" t="inlineStr">
        <is>
          <t>2024-10-15</t>
        </is>
      </c>
      <c r="B131" s="7" t="inlineStr">
        <is>
          <t>Damaris Sigei</t>
        </is>
      </c>
      <c r="C131" s="8" t="n">
        <v>1</v>
      </c>
      <c r="D131" s="8" t="n">
        <v>345</v>
      </c>
      <c r="E131" s="8" t="n">
        <v>345</v>
      </c>
      <c r="F131" s="67" t="inlineStr">
        <is>
          <t>ACC-SINV-2026-00370</t>
        </is>
      </c>
      <c r="G131" s="55" t="n">
        <v>345</v>
      </c>
      <c r="H131" s="10" t="inlineStr">
        <is>
          <t>✓ Match</t>
        </is>
      </c>
    </row>
    <row r="132" ht="14" customHeight="1">
      <c r="A132" s="14" t="inlineStr">
        <is>
          <t>2024-10-22</t>
        </is>
      </c>
      <c r="B132" s="14" t="inlineStr">
        <is>
          <t>Apiyo Kibe</t>
        </is>
      </c>
      <c r="C132" s="15" t="n">
        <v>6</v>
      </c>
      <c r="D132" s="15" t="n">
        <v>345</v>
      </c>
      <c r="E132" s="15" t="n">
        <v>2070</v>
      </c>
      <c r="F132" s="19" t="inlineStr">
        <is>
          <t>ACC-SINV-2026-00371</t>
        </is>
      </c>
      <c r="G132" s="22" t="n">
        <v>2070</v>
      </c>
      <c r="H132" s="10" t="inlineStr">
        <is>
          <t>✓ Match</t>
        </is>
      </c>
    </row>
    <row r="133" ht="14" customHeight="1">
      <c r="A133" s="7" t="inlineStr">
        <is>
          <t>2024-10-29</t>
        </is>
      </c>
      <c r="B133" s="7" t="inlineStr">
        <is>
          <t>Atieno Ndirangu</t>
        </is>
      </c>
      <c r="C133" s="8" t="n">
        <v>2</v>
      </c>
      <c r="D133" s="8" t="n">
        <v>355</v>
      </c>
      <c r="E133" s="8" t="n">
        <v>710</v>
      </c>
      <c r="F133" s="67" t="inlineStr">
        <is>
          <t>ACC-SINV-2026-00372</t>
        </is>
      </c>
      <c r="G133" s="55" t="n">
        <v>710</v>
      </c>
      <c r="H133" s="10" t="inlineStr">
        <is>
          <t>✓ Match</t>
        </is>
      </c>
    </row>
    <row r="134" ht="14" customHeight="1">
      <c r="A134" s="14" t="inlineStr">
        <is>
          <t>2024-11-01</t>
        </is>
      </c>
      <c r="B134" s="14" t="inlineStr">
        <is>
          <t>Murimi Onyango</t>
        </is>
      </c>
      <c r="C134" s="15" t="n">
        <v>6</v>
      </c>
      <c r="D134" s="15" t="n">
        <v>360</v>
      </c>
      <c r="E134" s="15" t="n">
        <v>2160</v>
      </c>
      <c r="F134" s="19" t="inlineStr">
        <is>
          <t>ACC-SINV-2026-00373</t>
        </is>
      </c>
      <c r="G134" s="22" t="n">
        <v>2160</v>
      </c>
      <c r="H134" s="10" t="inlineStr">
        <is>
          <t>✓ Match</t>
        </is>
      </c>
    </row>
    <row r="135" ht="14" customHeight="1">
      <c r="A135" s="7" t="inlineStr">
        <is>
          <t>2024-11-05</t>
        </is>
      </c>
      <c r="B135" s="7" t="inlineStr">
        <is>
          <t>Atieno Ndirangu</t>
        </is>
      </c>
      <c r="C135" s="8" t="n">
        <v>2</v>
      </c>
      <c r="D135" s="8" t="n">
        <v>360</v>
      </c>
      <c r="E135" s="8" t="n">
        <v>720</v>
      </c>
      <c r="F135" s="67" t="inlineStr">
        <is>
          <t>ACC-SINV-2026-00374</t>
        </is>
      </c>
      <c r="G135" s="55" t="n">
        <v>720</v>
      </c>
      <c r="H135" s="10" t="inlineStr">
        <is>
          <t>✓ Match</t>
        </is>
      </c>
    </row>
    <row r="136" ht="14" customHeight="1">
      <c r="A136" s="14" t="inlineStr">
        <is>
          <t>2024-11-08</t>
        </is>
      </c>
      <c r="B136" s="14" t="inlineStr">
        <is>
          <t>Murimi Onyango</t>
        </is>
      </c>
      <c r="C136" s="15" t="n">
        <v>8</v>
      </c>
      <c r="D136" s="15" t="n">
        <v>370</v>
      </c>
      <c r="E136" s="15" t="n">
        <v>2960</v>
      </c>
      <c r="F136" s="19" t="inlineStr">
        <is>
          <t>ACC-SINV-2026-00375</t>
        </is>
      </c>
      <c r="G136" s="22" t="n">
        <v>2960</v>
      </c>
      <c r="H136" s="10" t="inlineStr">
        <is>
          <t>✓ Match</t>
        </is>
      </c>
    </row>
    <row r="137" ht="14" customHeight="1">
      <c r="A137" s="7" t="inlineStr">
        <is>
          <t>2024-11-12</t>
        </is>
      </c>
      <c r="B137" s="7" t="inlineStr">
        <is>
          <t>Murimi Onyango</t>
        </is>
      </c>
      <c r="C137" s="8" t="n">
        <v>6</v>
      </c>
      <c r="D137" s="8" t="n">
        <v>370</v>
      </c>
      <c r="E137" s="8" t="n">
        <v>2220</v>
      </c>
      <c r="F137" s="67" t="inlineStr">
        <is>
          <t>ACC-SINV-2026-00376</t>
        </is>
      </c>
      <c r="G137" s="55" t="n">
        <v>2220</v>
      </c>
      <c r="H137" s="10" t="inlineStr">
        <is>
          <t>✓ Match</t>
        </is>
      </c>
    </row>
    <row r="138" ht="14" customHeight="1">
      <c r="A138" s="14" t="inlineStr">
        <is>
          <t>2024-11-15</t>
        </is>
      </c>
      <c r="B138" s="14" t="inlineStr">
        <is>
          <t>Apiyo Kibe</t>
        </is>
      </c>
      <c r="C138" s="15" t="n">
        <v>5</v>
      </c>
      <c r="D138" s="15" t="n">
        <v>375</v>
      </c>
      <c r="E138" s="15" t="n">
        <v>1875</v>
      </c>
      <c r="F138" s="19" t="inlineStr">
        <is>
          <t>ACC-SINV-2026-00377</t>
        </is>
      </c>
      <c r="G138" s="22" t="n">
        <v>1875</v>
      </c>
      <c r="H138" s="10" t="inlineStr">
        <is>
          <t>✓ Match</t>
        </is>
      </c>
    </row>
    <row r="139" ht="14" customHeight="1">
      <c r="A139" s="7" t="inlineStr">
        <is>
          <t>2024-11-19</t>
        </is>
      </c>
      <c r="B139" s="7" t="inlineStr">
        <is>
          <t>Damaris Sigei</t>
        </is>
      </c>
      <c r="C139" s="8" t="n">
        <v>1</v>
      </c>
      <c r="D139" s="8" t="n">
        <v>370</v>
      </c>
      <c r="E139" s="8" t="n">
        <v>370</v>
      </c>
      <c r="F139" s="67" t="inlineStr">
        <is>
          <t>ACC-SINV-2026-00378</t>
        </is>
      </c>
      <c r="G139" s="55" t="n">
        <v>370</v>
      </c>
      <c r="H139" s="10" t="inlineStr">
        <is>
          <t>✓ Match</t>
        </is>
      </c>
    </row>
    <row r="140" ht="14" customHeight="1">
      <c r="A140" s="14" t="inlineStr">
        <is>
          <t>2024-11-22</t>
        </is>
      </c>
      <c r="B140" s="14" t="inlineStr">
        <is>
          <t>Damaris Sigei</t>
        </is>
      </c>
      <c r="C140" s="15" t="n">
        <v>1</v>
      </c>
      <c r="D140" s="15" t="n">
        <v>365</v>
      </c>
      <c r="E140" s="15" t="n">
        <v>365</v>
      </c>
      <c r="F140" s="19" t="inlineStr">
        <is>
          <t>ACC-SINV-2026-00379</t>
        </is>
      </c>
      <c r="G140" s="22" t="n">
        <v>365</v>
      </c>
      <c r="H140" s="10" t="inlineStr">
        <is>
          <t>✓ Match</t>
        </is>
      </c>
    </row>
    <row r="141" ht="14" customHeight="1">
      <c r="A141" s="7" t="inlineStr">
        <is>
          <t>2024-11-26</t>
        </is>
      </c>
      <c r="B141" s="7" t="inlineStr">
        <is>
          <t>Apiyo Kibe</t>
        </is>
      </c>
      <c r="C141" s="8" t="n">
        <v>4</v>
      </c>
      <c r="D141" s="8" t="n">
        <v>370</v>
      </c>
      <c r="E141" s="8" t="n">
        <v>1480</v>
      </c>
      <c r="F141" s="67" t="inlineStr">
        <is>
          <t>ACC-SINV-2026-00380</t>
        </is>
      </c>
      <c r="G141" s="55" t="n">
        <v>1480</v>
      </c>
      <c r="H141" s="10" t="inlineStr">
        <is>
          <t>✓ Match</t>
        </is>
      </c>
    </row>
    <row r="142" ht="14" customHeight="1">
      <c r="A142" s="14" t="inlineStr">
        <is>
          <t>2024-11-29</t>
        </is>
      </c>
      <c r="B142" s="14" t="inlineStr">
        <is>
          <t>Damaris Sigei</t>
        </is>
      </c>
      <c r="C142" s="15" t="n">
        <v>3</v>
      </c>
      <c r="D142" s="15" t="n">
        <v>365</v>
      </c>
      <c r="E142" s="15" t="n">
        <v>1095</v>
      </c>
      <c r="F142" s="19" t="inlineStr">
        <is>
          <t>ACC-SINV-2026-00381</t>
        </is>
      </c>
      <c r="G142" s="22" t="n">
        <v>1095</v>
      </c>
      <c r="H142" s="10" t="inlineStr">
        <is>
          <t>✓ Match</t>
        </is>
      </c>
    </row>
    <row r="143" ht="14" customHeight="1">
      <c r="A143" s="7" t="inlineStr">
        <is>
          <t>2024-12-03</t>
        </is>
      </c>
      <c r="B143" s="7" t="inlineStr">
        <is>
          <t>Atieno Ndirangu</t>
        </is>
      </c>
      <c r="C143" s="8" t="n">
        <v>2</v>
      </c>
      <c r="D143" s="8" t="n">
        <v>375</v>
      </c>
      <c r="E143" s="8" t="n">
        <v>750</v>
      </c>
      <c r="F143" s="67" t="inlineStr">
        <is>
          <t>ACC-SINV-2026-00382</t>
        </is>
      </c>
      <c r="G143" s="55" t="n">
        <v>750</v>
      </c>
      <c r="H143" s="10" t="inlineStr">
        <is>
          <t>✓ Match</t>
        </is>
      </c>
    </row>
    <row r="144" ht="14" customHeight="1">
      <c r="A144" s="14" t="inlineStr">
        <is>
          <t>2024-12-06</t>
        </is>
      </c>
      <c r="B144" s="14" t="inlineStr">
        <is>
          <t>Atieno Ndirangu</t>
        </is>
      </c>
      <c r="C144" s="15" t="n">
        <v>1</v>
      </c>
      <c r="D144" s="15" t="n">
        <v>360</v>
      </c>
      <c r="E144" s="15" t="n">
        <v>360</v>
      </c>
      <c r="F144" s="19" t="inlineStr">
        <is>
          <t>ACC-SINV-2026-00383</t>
        </is>
      </c>
      <c r="G144" s="22" t="n">
        <v>360</v>
      </c>
      <c r="H144" s="10" t="inlineStr">
        <is>
          <t>✓ Match</t>
        </is>
      </c>
    </row>
    <row r="145" ht="14" customHeight="1">
      <c r="A145" s="7" t="inlineStr">
        <is>
          <t>2024-12-13</t>
        </is>
      </c>
      <c r="B145" s="7" t="inlineStr">
        <is>
          <t>Atieno Ndirangu</t>
        </is>
      </c>
      <c r="C145" s="8" t="n">
        <v>3</v>
      </c>
      <c r="D145" s="8" t="n">
        <v>365</v>
      </c>
      <c r="E145" s="8" t="n">
        <v>1095</v>
      </c>
      <c r="F145" s="67" t="inlineStr">
        <is>
          <t>ACC-SINV-2026-00384</t>
        </is>
      </c>
      <c r="G145" s="55" t="n">
        <v>1095</v>
      </c>
      <c r="H145" s="10" t="inlineStr">
        <is>
          <t>✓ Match</t>
        </is>
      </c>
    </row>
    <row r="146" ht="14" customHeight="1">
      <c r="A146" s="14" t="inlineStr">
        <is>
          <t>2024-12-17</t>
        </is>
      </c>
      <c r="B146" s="14" t="inlineStr">
        <is>
          <t>Damaris Sigei</t>
        </is>
      </c>
      <c r="C146" s="15" t="n">
        <v>1</v>
      </c>
      <c r="D146" s="15" t="n">
        <v>375</v>
      </c>
      <c r="E146" s="15" t="n">
        <v>375</v>
      </c>
      <c r="F146" s="19" t="inlineStr">
        <is>
          <t>ACC-SINV-2026-00385</t>
        </is>
      </c>
      <c r="G146" s="22" t="n">
        <v>375</v>
      </c>
      <c r="H146" s="10" t="inlineStr">
        <is>
          <t>✓ Match</t>
        </is>
      </c>
    </row>
    <row r="147" ht="14" customHeight="1">
      <c r="A147" s="7" t="inlineStr">
        <is>
          <t>2024-12-20</t>
        </is>
      </c>
      <c r="B147" s="7" t="inlineStr">
        <is>
          <t>Atieno Ndirangu</t>
        </is>
      </c>
      <c r="C147" s="8" t="n">
        <v>1</v>
      </c>
      <c r="D147" s="8" t="n">
        <v>375</v>
      </c>
      <c r="E147" s="8" t="n">
        <v>375</v>
      </c>
      <c r="F147" s="67" t="inlineStr">
        <is>
          <t>ACC-SINV-2026-00386</t>
        </is>
      </c>
      <c r="G147" s="55" t="n">
        <v>375</v>
      </c>
      <c r="H147" s="10" t="inlineStr">
        <is>
          <t>✓ Match</t>
        </is>
      </c>
    </row>
    <row r="148" ht="14" customHeight="1">
      <c r="A148" s="14" t="inlineStr">
        <is>
          <t>2024-12-21</t>
        </is>
      </c>
      <c r="B148" s="14" t="inlineStr">
        <is>
          <t>Atieno Ndirangu</t>
        </is>
      </c>
      <c r="C148" s="15" t="n">
        <v>2</v>
      </c>
      <c r="D148" s="15" t="n">
        <v>375</v>
      </c>
      <c r="E148" s="15" t="n">
        <v>750</v>
      </c>
      <c r="F148" s="19" t="inlineStr">
        <is>
          <t>ACC-SINV-2026-00387</t>
        </is>
      </c>
      <c r="G148" s="22" t="n">
        <v>750</v>
      </c>
      <c r="H148" s="10" t="inlineStr">
        <is>
          <t>✓ Match</t>
        </is>
      </c>
    </row>
    <row r="149" ht="14" customHeight="1">
      <c r="A149" s="7" t="inlineStr">
        <is>
          <t>2024-12-24</t>
        </is>
      </c>
      <c r="B149" s="7" t="inlineStr">
        <is>
          <t>Atieno Ndirangu</t>
        </is>
      </c>
      <c r="C149" s="8" t="n">
        <v>2</v>
      </c>
      <c r="D149" s="8" t="n">
        <v>370</v>
      </c>
      <c r="E149" s="8" t="n">
        <v>740</v>
      </c>
      <c r="F149" s="67" t="inlineStr">
        <is>
          <t>ACC-SINV-2026-00388</t>
        </is>
      </c>
      <c r="G149" s="55" t="n">
        <v>740</v>
      </c>
      <c r="H149" s="10" t="inlineStr">
        <is>
          <t>✓ Match</t>
        </is>
      </c>
    </row>
    <row r="150" ht="14" customHeight="1">
      <c r="A150" s="14" t="inlineStr">
        <is>
          <t>2024-12-27</t>
        </is>
      </c>
      <c r="B150" s="14" t="inlineStr">
        <is>
          <t>Apiyo Kibe</t>
        </is>
      </c>
      <c r="C150" s="15" t="n">
        <v>8</v>
      </c>
      <c r="D150" s="15" t="n">
        <v>360</v>
      </c>
      <c r="E150" s="15" t="n">
        <v>2880</v>
      </c>
      <c r="F150" s="19" t="inlineStr">
        <is>
          <t>ACC-SINV-2026-00389</t>
        </is>
      </c>
      <c r="G150" s="22" t="n">
        <v>2880</v>
      </c>
      <c r="H150" s="10" t="inlineStr">
        <is>
          <t>✓ Match</t>
        </is>
      </c>
    </row>
    <row r="151" ht="14" customHeight="1">
      <c r="A151" s="7" t="inlineStr">
        <is>
          <t>2024-12-31</t>
        </is>
      </c>
      <c r="B151" s="7" t="inlineStr">
        <is>
          <t>Atieno Ndirangu</t>
        </is>
      </c>
      <c r="C151" s="8" t="n">
        <v>1</v>
      </c>
      <c r="D151" s="8" t="n">
        <v>375</v>
      </c>
      <c r="E151" s="8" t="n">
        <v>375</v>
      </c>
      <c r="F151" s="67" t="inlineStr">
        <is>
          <t>ACC-SINV-2026-00390</t>
        </is>
      </c>
      <c r="G151" s="55" t="n">
        <v>375</v>
      </c>
      <c r="H151" s="10" t="inlineStr">
        <is>
          <t>✓ Match</t>
        </is>
      </c>
    </row>
    <row r="152" ht="14" customHeight="1">
      <c r="A152" s="14" t="inlineStr">
        <is>
          <t>2025-01-03</t>
        </is>
      </c>
      <c r="B152" s="14" t="inlineStr">
        <is>
          <t>Apiyo Kibe</t>
        </is>
      </c>
      <c r="C152" s="15" t="n">
        <v>4</v>
      </c>
      <c r="D152" s="15" t="n">
        <v>370</v>
      </c>
      <c r="E152" s="15" t="n">
        <v>1480</v>
      </c>
      <c r="F152" s="19" t="inlineStr">
        <is>
          <t>ACC-SINV-2026-00391</t>
        </is>
      </c>
      <c r="G152" s="22" t="n">
        <v>1480</v>
      </c>
      <c r="H152" s="10" t="inlineStr">
        <is>
          <t>✓ Match</t>
        </is>
      </c>
    </row>
    <row r="153" ht="14" customHeight="1">
      <c r="A153" s="7" t="inlineStr">
        <is>
          <t>2025-01-07</t>
        </is>
      </c>
      <c r="B153" s="7" t="inlineStr">
        <is>
          <t>Apiyo Kibe</t>
        </is>
      </c>
      <c r="C153" s="8" t="n">
        <v>4</v>
      </c>
      <c r="D153" s="8" t="n">
        <v>365</v>
      </c>
      <c r="E153" s="8" t="n">
        <v>1460</v>
      </c>
      <c r="F153" s="67" t="inlineStr">
        <is>
          <t>ACC-SINV-2026-00392</t>
        </is>
      </c>
      <c r="G153" s="55" t="n">
        <v>1460</v>
      </c>
      <c r="H153" s="10" t="inlineStr">
        <is>
          <t>✓ Match</t>
        </is>
      </c>
    </row>
    <row r="154" ht="14" customHeight="1">
      <c r="A154" s="14" t="inlineStr">
        <is>
          <t>2025-01-10</t>
        </is>
      </c>
      <c r="B154" s="14" t="inlineStr">
        <is>
          <t>Apiyo Kibe</t>
        </is>
      </c>
      <c r="C154" s="15" t="n">
        <v>8</v>
      </c>
      <c r="D154" s="15" t="n">
        <v>360</v>
      </c>
      <c r="E154" s="15" t="n">
        <v>2880</v>
      </c>
      <c r="F154" s="19" t="inlineStr">
        <is>
          <t>ACC-SINV-2026-00393</t>
        </is>
      </c>
      <c r="G154" s="22" t="n">
        <v>2880</v>
      </c>
      <c r="H154" s="10" t="inlineStr">
        <is>
          <t>✓ Match</t>
        </is>
      </c>
    </row>
    <row r="155" ht="14" customHeight="1">
      <c r="A155" s="7" t="inlineStr">
        <is>
          <t>2025-01-14</t>
        </is>
      </c>
      <c r="B155" s="7" t="inlineStr">
        <is>
          <t>Murimi Onyango</t>
        </is>
      </c>
      <c r="C155" s="8" t="n">
        <v>6</v>
      </c>
      <c r="D155" s="8" t="n">
        <v>370</v>
      </c>
      <c r="E155" s="8" t="n">
        <v>2220</v>
      </c>
      <c r="F155" s="67" t="inlineStr">
        <is>
          <t>ACC-SINV-2026-00394</t>
        </is>
      </c>
      <c r="G155" s="55" t="n">
        <v>2220</v>
      </c>
      <c r="H155" s="10" t="inlineStr">
        <is>
          <t>✓ Match</t>
        </is>
      </c>
    </row>
    <row r="156" ht="14" customHeight="1">
      <c r="A156" s="14" t="inlineStr">
        <is>
          <t>2025-01-21</t>
        </is>
      </c>
      <c r="B156" s="14" t="inlineStr">
        <is>
          <t>Apiyo Kibe</t>
        </is>
      </c>
      <c r="C156" s="15" t="n">
        <v>5</v>
      </c>
      <c r="D156" s="15" t="n">
        <v>360</v>
      </c>
      <c r="E156" s="15" t="n">
        <v>1800</v>
      </c>
      <c r="F156" s="19" t="inlineStr">
        <is>
          <t>ACC-SINV-2026-00395</t>
        </is>
      </c>
      <c r="G156" s="22" t="n">
        <v>1800</v>
      </c>
      <c r="H156" s="10" t="inlineStr">
        <is>
          <t>✓ Match</t>
        </is>
      </c>
    </row>
    <row r="157" ht="14" customHeight="1">
      <c r="A157" s="7" t="inlineStr">
        <is>
          <t>2025-01-24</t>
        </is>
      </c>
      <c r="B157" s="7" t="inlineStr">
        <is>
          <t>Damaris Sigei</t>
        </is>
      </c>
      <c r="C157" s="8" t="n">
        <v>2</v>
      </c>
      <c r="D157" s="8" t="n">
        <v>365</v>
      </c>
      <c r="E157" s="8" t="n">
        <v>730</v>
      </c>
      <c r="F157" s="67" t="inlineStr">
        <is>
          <t>ACC-SINV-2026-00396</t>
        </is>
      </c>
      <c r="G157" s="55" t="n">
        <v>730</v>
      </c>
      <c r="H157" s="10" t="inlineStr">
        <is>
          <t>✓ Match</t>
        </is>
      </c>
    </row>
    <row r="158" ht="14" customHeight="1">
      <c r="A158" s="14" t="inlineStr">
        <is>
          <t>2025-01-25</t>
        </is>
      </c>
      <c r="B158" s="14" t="inlineStr">
        <is>
          <t>Murimi Onyango</t>
        </is>
      </c>
      <c r="C158" s="15" t="n">
        <v>7</v>
      </c>
      <c r="D158" s="15" t="n">
        <v>365</v>
      </c>
      <c r="E158" s="15" t="n">
        <v>2555</v>
      </c>
      <c r="F158" s="19" t="inlineStr">
        <is>
          <t>ACC-SINV-2026-00397</t>
        </is>
      </c>
      <c r="G158" s="22" t="n">
        <v>2555</v>
      </c>
      <c r="H158" s="10" t="inlineStr">
        <is>
          <t>✓ Match</t>
        </is>
      </c>
    </row>
    <row r="159" ht="14" customHeight="1">
      <c r="A159" s="7" t="inlineStr">
        <is>
          <t>2025-01-28</t>
        </is>
      </c>
      <c r="B159" s="7" t="inlineStr">
        <is>
          <t>Atieno Ndirangu</t>
        </is>
      </c>
      <c r="C159" s="8" t="n">
        <v>1</v>
      </c>
      <c r="D159" s="8" t="n">
        <v>370</v>
      </c>
      <c r="E159" s="8" t="n">
        <v>370</v>
      </c>
      <c r="F159" s="67" t="inlineStr">
        <is>
          <t>ACC-SINV-2026-00398</t>
        </is>
      </c>
      <c r="G159" s="55" t="n">
        <v>370</v>
      </c>
      <c r="H159" s="10" t="inlineStr">
        <is>
          <t>✓ Match</t>
        </is>
      </c>
    </row>
    <row r="160" ht="14" customHeight="1">
      <c r="A160" s="14" t="inlineStr">
        <is>
          <t>2025-01-31</t>
        </is>
      </c>
      <c r="B160" s="14" t="inlineStr">
        <is>
          <t>Murimi Onyango</t>
        </is>
      </c>
      <c r="C160" s="15" t="n">
        <v>5</v>
      </c>
      <c r="D160" s="15" t="n">
        <v>380</v>
      </c>
      <c r="E160" s="15" t="n">
        <v>1900</v>
      </c>
      <c r="F160" s="19" t="inlineStr">
        <is>
          <t>ACC-SINV-2026-00399</t>
        </is>
      </c>
      <c r="G160" s="22" t="n">
        <v>1900</v>
      </c>
      <c r="H160" s="10" t="inlineStr">
        <is>
          <t>✓ Match</t>
        </is>
      </c>
    </row>
    <row r="161" ht="14" customHeight="1">
      <c r="A161" s="7" t="inlineStr">
        <is>
          <t>2025-02-04</t>
        </is>
      </c>
      <c r="B161" s="7" t="inlineStr">
        <is>
          <t>Atieno Ndirangu</t>
        </is>
      </c>
      <c r="C161" s="8" t="n">
        <v>1</v>
      </c>
      <c r="D161" s="8" t="n">
        <v>340</v>
      </c>
      <c r="E161" s="8" t="n">
        <v>340</v>
      </c>
      <c r="F161" s="67" t="inlineStr">
        <is>
          <t>ACC-SINV-2026-00400</t>
        </is>
      </c>
      <c r="G161" s="55" t="n">
        <v>340</v>
      </c>
      <c r="H161" s="10" t="inlineStr">
        <is>
          <t>✓ Match</t>
        </is>
      </c>
    </row>
    <row r="162" ht="14" customHeight="1">
      <c r="A162" s="14" t="inlineStr">
        <is>
          <t>2025-02-04</t>
        </is>
      </c>
      <c r="B162" s="14" t="inlineStr">
        <is>
          <t>Murimi Onyango</t>
        </is>
      </c>
      <c r="C162" s="15" t="n">
        <v>4</v>
      </c>
      <c r="D162" s="15" t="n">
        <v>350</v>
      </c>
      <c r="E162" s="15" t="n">
        <v>1400</v>
      </c>
      <c r="F162" s="19" t="inlineStr">
        <is>
          <t>ACC-SINV-2026-00401</t>
        </is>
      </c>
      <c r="G162" s="22" t="n">
        <v>1400</v>
      </c>
      <c r="H162" s="10" t="inlineStr">
        <is>
          <t>✓ Match</t>
        </is>
      </c>
    </row>
    <row r="163" ht="14" customHeight="1">
      <c r="A163" s="7" t="inlineStr">
        <is>
          <t>2025-02-07</t>
        </is>
      </c>
      <c r="B163" s="7" t="inlineStr">
        <is>
          <t>Atieno Ndirangu</t>
        </is>
      </c>
      <c r="C163" s="8" t="n">
        <v>2</v>
      </c>
      <c r="D163" s="8" t="n">
        <v>360</v>
      </c>
      <c r="E163" s="8" t="n">
        <v>720</v>
      </c>
      <c r="F163" s="67" t="inlineStr">
        <is>
          <t>ACC-SINV-2026-00402</t>
        </is>
      </c>
      <c r="G163" s="55" t="n">
        <v>720</v>
      </c>
      <c r="H163" s="10" t="inlineStr">
        <is>
          <t>✓ Match</t>
        </is>
      </c>
    </row>
    <row r="164" ht="16" customHeight="1">
      <c r="A164" s="56" t="inlineStr">
        <is>
          <t>TOTAL</t>
        </is>
      </c>
      <c r="B164" s="44" t="n"/>
      <c r="C164" s="57">
        <f>SUM(C61:C163)</f>
        <v/>
      </c>
      <c r="D164" s="44" t="n"/>
      <c r="E164" s="57">
        <f>SUM(E61:E163)</f>
        <v/>
      </c>
      <c r="F164" s="44" t="n"/>
      <c r="G164" s="57">
        <f>SUM(G61:G163)</f>
        <v/>
      </c>
      <c r="H164" s="10" t="inlineStr">
        <is>
          <t>✓ Match</t>
        </is>
      </c>
    </row>
  </sheetData>
  <mergeCells count="4">
    <mergeCell ref="A59:H59"/>
    <mergeCell ref="A3:H3"/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2" customWidth="1" min="4" max="4"/>
    <col width="55" customWidth="1" min="5" max="5"/>
    <col width="4" customWidth="1" min="6" max="6"/>
    <col width="4" customWidth="1" min="7" max="7"/>
    <col width="4" customWidth="1" min="8" max="8"/>
    <col width="4" customWidth="1" min="9" max="9"/>
  </cols>
  <sheetData>
    <row r="1" ht="26" customHeight="1">
      <c r="A1" s="1" t="inlineStr">
        <is>
          <t>Compliance Documents — Licences &amp; Permits</t>
        </is>
      </c>
    </row>
    <row r="2" ht="16" customHeight="1">
      <c r="A2" s="2" t="inlineStr">
        <is>
          <t>9 documents migrated  |  6 expired at migration date  |  Historical accuracy preserved</t>
        </is>
      </c>
    </row>
    <row r="3" ht="15" customHeight="1">
      <c r="A3" s="5" t="inlineStr">
        <is>
          <t xml:space="preserve">  All Documents — Source vs ERPNext</t>
        </is>
      </c>
    </row>
    <row r="4" ht="28" customHeight="1">
      <c r="A4" s="3" t="inlineStr">
        <is>
          <t>Document Type</t>
        </is>
      </c>
      <c r="B4" s="3" t="inlineStr">
        <is>
          <t>Document Number</t>
        </is>
      </c>
      <c r="C4" s="3" t="inlineStr">
        <is>
          <t>Issuing Authority</t>
        </is>
      </c>
      <c r="D4" s="3" t="inlineStr">
        <is>
          <t>Issue Date</t>
        </is>
      </c>
      <c r="E4" s="3" t="inlineStr">
        <is>
          <t>Expiry Date</t>
        </is>
      </c>
      <c r="F4" s="4" t="inlineStr">
        <is>
          <t>In ERPNext</t>
        </is>
      </c>
      <c r="G4" s="4" t="inlineStr">
        <is>
          <t>Expired Flag</t>
        </is>
      </c>
      <c r="H4" s="3" t="inlineStr">
        <is>
          <t>Status</t>
        </is>
      </c>
      <c r="I4" s="3" t="inlineStr">
        <is>
          <t>Renewal Fee (KES)</t>
        </is>
      </c>
    </row>
    <row r="5" ht="16" customHeight="1">
      <c r="A5" s="7" t="inlineStr">
        <is>
          <t>KRA PIN Certificate</t>
        </is>
      </c>
      <c r="B5" s="6" t="inlineStr">
        <is>
          <t>A005847293K</t>
        </is>
      </c>
      <c r="C5" s="6" t="inlineStr">
        <is>
          <t>Kenya Revenue Authority</t>
        </is>
      </c>
      <c r="D5" s="6" t="inlineStr">
        <is>
          <t>2024-01-10</t>
        </is>
      </c>
      <c r="E5" s="6" t="inlineStr">
        <is>
          <t>No expiry</t>
        </is>
      </c>
      <c r="F5" s="70" t="inlineStr">
        <is>
          <t>✓ Migrated</t>
        </is>
      </c>
      <c r="G5" s="71" t="inlineStr">
        <is>
          <t>Active</t>
        </is>
      </c>
      <c r="H5" s="10" t="inlineStr">
        <is>
          <t>✓ Active</t>
        </is>
      </c>
      <c r="I5" s="72" t="inlineStr">
        <is>
          <t>—</t>
        </is>
      </c>
    </row>
    <row r="6" ht="16" customHeight="1">
      <c r="A6" s="73" t="inlineStr">
        <is>
          <t>Single Business Permit</t>
        </is>
      </c>
      <c r="B6" s="50" t="inlineStr">
        <is>
          <t>SBP/NBI/2024/038472</t>
        </is>
      </c>
      <c r="C6" s="50" t="inlineStr">
        <is>
          <t>Nairobi County Government</t>
        </is>
      </c>
      <c r="D6" s="50" t="inlineStr">
        <is>
          <t>2024-01-15</t>
        </is>
      </c>
      <c r="E6" s="74" t="inlineStr">
        <is>
          <t>2024-12-31</t>
        </is>
      </c>
      <c r="F6" s="75" t="inlineStr">
        <is>
          <t>✓ Migrated</t>
        </is>
      </c>
      <c r="G6" s="74" t="inlineStr">
        <is>
          <t>✓ Expired</t>
        </is>
      </c>
      <c r="H6" s="68" t="inlineStr">
        <is>
          <t>⚠ Expired</t>
        </is>
      </c>
      <c r="I6" s="76" t="n">
        <v>15000</v>
      </c>
    </row>
    <row r="7" ht="16" customHeight="1">
      <c r="A7" s="73" t="inlineStr">
        <is>
          <t>Tax Compliance Certificate</t>
        </is>
      </c>
      <c r="B7" s="50" t="inlineStr">
        <is>
          <t>TCC/2024/0293847</t>
        </is>
      </c>
      <c r="C7" s="50" t="inlineStr">
        <is>
          <t>Kenya Revenue Authority</t>
        </is>
      </c>
      <c r="D7" s="50" t="inlineStr">
        <is>
          <t>2024-02-20</t>
        </is>
      </c>
      <c r="E7" s="74" t="inlineStr">
        <is>
          <t>2025-02-19</t>
        </is>
      </c>
      <c r="F7" s="75" t="inlineStr">
        <is>
          <t>✓ Migrated</t>
        </is>
      </c>
      <c r="G7" s="74" t="inlineStr">
        <is>
          <t>✓ Expired</t>
        </is>
      </c>
      <c r="H7" s="68" t="inlineStr">
        <is>
          <t>⚠ Expired</t>
        </is>
      </c>
      <c r="I7" s="77" t="inlineStr">
        <is>
          <t>—</t>
        </is>
      </c>
    </row>
    <row r="8" ht="16" customHeight="1">
      <c r="A8" s="14" t="inlineStr">
        <is>
          <t>eTIMS Registration Certificate</t>
        </is>
      </c>
      <c r="B8" s="13" t="inlineStr">
        <is>
          <t>ETIMS/CU/2024/00384</t>
        </is>
      </c>
      <c r="C8" s="13" t="inlineStr">
        <is>
          <t>Kenya Revenue Authority</t>
        </is>
      </c>
      <c r="D8" s="13" t="inlineStr">
        <is>
          <t>2024-01-20</t>
        </is>
      </c>
      <c r="E8" s="13" t="inlineStr">
        <is>
          <t>No expiry</t>
        </is>
      </c>
      <c r="F8" s="78" t="inlineStr">
        <is>
          <t>✓ Migrated</t>
        </is>
      </c>
      <c r="G8" s="79" t="inlineStr">
        <is>
          <t>Active</t>
        </is>
      </c>
      <c r="H8" s="10" t="inlineStr">
        <is>
          <t>✓ Active</t>
        </is>
      </c>
      <c r="I8" s="80" t="inlineStr">
        <is>
          <t>—</t>
        </is>
      </c>
    </row>
    <row r="9" ht="16" customHeight="1">
      <c r="A9" s="73" t="inlineStr">
        <is>
          <t>Fire Safety Certificate</t>
        </is>
      </c>
      <c r="B9" s="50" t="inlineStr">
        <is>
          <t>FSC/NBI/2024/009283</t>
        </is>
      </c>
      <c r="C9" s="50" t="inlineStr">
        <is>
          <t>Nairobi County Fire Department</t>
        </is>
      </c>
      <c r="D9" s="50" t="inlineStr">
        <is>
          <t>2024-01-25</t>
        </is>
      </c>
      <c r="E9" s="74" t="inlineStr">
        <is>
          <t>2025-01-24</t>
        </is>
      </c>
      <c r="F9" s="75" t="inlineStr">
        <is>
          <t>✓ Migrated</t>
        </is>
      </c>
      <c r="G9" s="74" t="inlineStr">
        <is>
          <t>✓ Expired</t>
        </is>
      </c>
      <c r="H9" s="68" t="inlineStr">
        <is>
          <t>⚠ Expired</t>
        </is>
      </c>
      <c r="I9" s="76" t="n">
        <v>5000</v>
      </c>
    </row>
    <row r="10" ht="16" customHeight="1">
      <c r="A10" s="73" t="inlineStr">
        <is>
          <t>Public Health License</t>
        </is>
      </c>
      <c r="B10" s="50" t="inlineStr">
        <is>
          <t>PHL/NBI/2024/004827</t>
        </is>
      </c>
      <c r="C10" s="50" t="inlineStr">
        <is>
          <t>Nairobi County Public Health</t>
        </is>
      </c>
      <c r="D10" s="50" t="inlineStr">
        <is>
          <t>2024-02-05</t>
        </is>
      </c>
      <c r="E10" s="74" t="inlineStr">
        <is>
          <t>2024-12-31</t>
        </is>
      </c>
      <c r="F10" s="75" t="inlineStr">
        <is>
          <t>✓ Migrated</t>
        </is>
      </c>
      <c r="G10" s="74" t="inlineStr">
        <is>
          <t>✓ Expired</t>
        </is>
      </c>
      <c r="H10" s="68" t="inlineStr">
        <is>
          <t>⚠ Expired</t>
        </is>
      </c>
      <c r="I10" s="76" t="n">
        <v>8000</v>
      </c>
    </row>
    <row r="11" ht="16" customHeight="1">
      <c r="A11" s="73" t="inlineStr">
        <is>
          <t>NEMA Environmental License</t>
        </is>
      </c>
      <c r="B11" s="50" t="inlineStr">
        <is>
          <t>NEMA/2024/EL/003948</t>
        </is>
      </c>
      <c r="C11" s="50" t="inlineStr">
        <is>
          <t>National Environment Management Authority</t>
        </is>
      </c>
      <c r="D11" s="50" t="inlineStr">
        <is>
          <t>2024-03-01</t>
        </is>
      </c>
      <c r="E11" s="74" t="inlineStr">
        <is>
          <t>2025-02-28</t>
        </is>
      </c>
      <c r="F11" s="75" t="inlineStr">
        <is>
          <t>✓ Migrated</t>
        </is>
      </c>
      <c r="G11" s="74" t="inlineStr">
        <is>
          <t>✓ Expired</t>
        </is>
      </c>
      <c r="H11" s="68" t="inlineStr">
        <is>
          <t>⚠ Expired</t>
        </is>
      </c>
      <c r="I11" s="76" t="n">
        <v>10000</v>
      </c>
    </row>
    <row r="12" ht="16" customHeight="1">
      <c r="A12" s="14" t="inlineStr">
        <is>
          <t>Business Registration Certificate</t>
        </is>
      </c>
      <c r="B12" s="13" t="inlineStr">
        <is>
          <t>BN/2024/038291</t>
        </is>
      </c>
      <c r="C12" s="13" t="inlineStr">
        <is>
          <t>Office of the Registrar of Companies</t>
        </is>
      </c>
      <c r="D12" s="13" t="inlineStr">
        <is>
          <t>2024-01-08</t>
        </is>
      </c>
      <c r="E12" s="13" t="inlineStr">
        <is>
          <t>No expiry</t>
        </is>
      </c>
      <c r="F12" s="78" t="inlineStr">
        <is>
          <t>✓ Migrated</t>
        </is>
      </c>
      <c r="G12" s="79" t="inlineStr">
        <is>
          <t>Active</t>
        </is>
      </c>
      <c r="H12" s="10" t="inlineStr">
        <is>
          <t>✓ Active</t>
        </is>
      </c>
      <c r="I12" s="80" t="inlineStr">
        <is>
          <t>—</t>
        </is>
      </c>
    </row>
    <row r="13" ht="16" customHeight="1">
      <c r="A13" s="73" t="inlineStr">
        <is>
          <t>Poultry Keeping Permit</t>
        </is>
      </c>
      <c r="B13" s="50" t="inlineStr">
        <is>
          <t>VET/NBI/2024/002938</t>
        </is>
      </c>
      <c r="C13" s="50" t="inlineStr">
        <is>
          <t>County Veterinary Office</t>
        </is>
      </c>
      <c r="D13" s="50" t="inlineStr">
        <is>
          <t>2024-01-30</t>
        </is>
      </c>
      <c r="E13" s="74" t="inlineStr">
        <is>
          <t>2024-12-31</t>
        </is>
      </c>
      <c r="F13" s="75" t="inlineStr">
        <is>
          <t>✓ Migrated</t>
        </is>
      </c>
      <c r="G13" s="74" t="inlineStr">
        <is>
          <t>✓ Expired</t>
        </is>
      </c>
      <c r="H13" s="68" t="inlineStr">
        <is>
          <t>⚠ Expired</t>
        </is>
      </c>
      <c r="I13" s="76" t="n">
        <v>3000</v>
      </c>
    </row>
    <row r="15" ht="15" customHeight="1">
      <c r="A15" s="5" t="inlineStr">
        <is>
          <t xml:space="preserve">  Summary</t>
        </is>
      </c>
    </row>
    <row r="16" ht="28" customHeight="1">
      <c r="A16" s="3" t="inlineStr">
        <is>
          <t>Item</t>
        </is>
      </c>
      <c r="B16" s="3" t="inlineStr">
        <is>
          <t>Source</t>
        </is>
      </c>
      <c r="C16" s="4" t="inlineStr">
        <is>
          <t>ERPNext</t>
        </is>
      </c>
      <c r="D16" s="3" t="inlineStr">
        <is>
          <t>Status</t>
        </is>
      </c>
      <c r="E16" s="3" t="inlineStr">
        <is>
          <t>Notes</t>
        </is>
      </c>
      <c r="F16" s="3" t="inlineStr"/>
      <c r="G16" s="3" t="inlineStr"/>
      <c r="H16" s="3" t="inlineStr"/>
      <c r="I16" s="3" t="inlineStr"/>
    </row>
    <row r="17" ht="16" customHeight="1">
      <c r="A17" s="7" t="inlineStr">
        <is>
          <t>Total documents migrated</t>
        </is>
      </c>
      <c r="B17" s="8" t="n">
        <v>9</v>
      </c>
      <c r="C17" s="55" t="n">
        <v>9</v>
      </c>
      <c r="D17" s="10" t="inlineStr">
        <is>
          <t>✓ Match</t>
        </is>
      </c>
      <c r="E17" s="11" t="inlineStr"/>
      <c r="F17" s="12" t="n"/>
      <c r="G17" s="12" t="n"/>
      <c r="H17" s="12" t="n"/>
      <c r="I17" s="12" t="n"/>
    </row>
    <row r="18" ht="16" customHeight="1">
      <c r="A18" s="14" t="inlineStr">
        <is>
          <t>Active (no expiry or future expiry)</t>
        </is>
      </c>
      <c r="B18" s="15" t="n">
        <v>3</v>
      </c>
      <c r="C18" s="22" t="n">
        <v>3</v>
      </c>
      <c r="D18" s="10" t="inlineStr">
        <is>
          <t>✓ Match</t>
        </is>
      </c>
      <c r="E18" s="17" t="inlineStr">
        <is>
          <t>KRA PIN, eTIMS Registration, Business Registration</t>
        </is>
      </c>
      <c r="F18" s="18" t="n"/>
      <c r="G18" s="18" t="n"/>
      <c r="H18" s="18" t="n"/>
      <c r="I18" s="18" t="n"/>
    </row>
    <row r="19" ht="16" customHeight="1">
      <c r="A19" s="7" t="inlineStr">
        <is>
          <t>Expired at migration date</t>
        </is>
      </c>
      <c r="B19" s="8" t="n">
        <v>6</v>
      </c>
      <c r="C19" s="55" t="n">
        <v>6</v>
      </c>
      <c r="D19" s="10" t="inlineStr">
        <is>
          <t>✓ Match</t>
        </is>
      </c>
      <c r="E19" s="11" t="inlineStr">
        <is>
          <t>Marked is_expired=1 in ERPNext — historical accuracy preserved</t>
        </is>
      </c>
      <c r="F19" s="12" t="n"/>
      <c r="G19" s="12" t="n"/>
      <c r="H19" s="12" t="n"/>
      <c r="I19" s="12" t="n"/>
    </row>
    <row r="20" ht="16" customHeight="1">
      <c r="A20" s="14" t="inlineStr">
        <is>
          <t>Total renewal fees outstanding (KES)</t>
        </is>
      </c>
      <c r="B20" s="15" t="n">
        <v>41000</v>
      </c>
      <c r="C20" s="22" t="n">
        <v>41000</v>
      </c>
      <c r="D20" s="10" t="inlineStr">
        <is>
          <t>✓ Match</t>
        </is>
      </c>
      <c r="E20" s="17" t="inlineStr">
        <is>
          <t>Single Business Permit + Fire Safety + Public Health + NEMA + Poultry</t>
        </is>
      </c>
      <c r="F20" s="18" t="n"/>
      <c r="G20" s="18" t="n"/>
      <c r="H20" s="18" t="n"/>
      <c r="I20" s="18" t="n"/>
    </row>
  </sheetData>
  <mergeCells count="4">
    <mergeCell ref="A1:I1"/>
    <mergeCell ref="A3:I3"/>
    <mergeCell ref="A2:I2"/>
    <mergeCell ref="A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7" customWidth="1" min="2" max="2"/>
    <col width="13" customWidth="1" min="3" max="3"/>
    <col width="17" customWidth="1" min="4" max="4"/>
    <col width="12" customWidth="1" min="5" max="5"/>
    <col width="4" customWidth="1" min="6" max="6"/>
    <col width="4" customWidth="1" min="7" max="7"/>
    <col width="4" customWidth="1" min="8" max="8"/>
  </cols>
  <sheetData>
    <row r="1" ht="26" customHeight="1">
      <c r="A1" s="1" t="inlineStr">
        <is>
          <t>Monthly Income &amp; Expenditure — Jan 2024 to Feb 2025</t>
        </is>
      </c>
    </row>
    <row r="2" ht="16" customHeight="1">
      <c r="A2" s="2" t="inlineStr">
        <is>
          <t>Source CSV  vs  ERPNext Live  |  All revenue streams combined</t>
        </is>
      </c>
    </row>
    <row r="3" ht="15" customHeight="1">
      <c r="A3" s="5" t="inlineStr">
        <is>
          <t xml:space="preserve">  Monthly P&amp;L Summary</t>
        </is>
      </c>
    </row>
    <row r="4" ht="28" customHeight="1">
      <c r="A4" s="3" t="inlineStr">
        <is>
          <t>Month</t>
        </is>
      </c>
      <c r="B4" s="3" t="inlineStr">
        <is>
          <t>Income (CSV) KES</t>
        </is>
      </c>
      <c r="C4" s="3" t="inlineStr">
        <is>
          <t>Expenses (CSV) KES</t>
        </is>
      </c>
      <c r="D4" s="3" t="inlineStr">
        <is>
          <t>Net (CSV) KES</t>
        </is>
      </c>
      <c r="E4" s="4" t="inlineStr">
        <is>
          <t>Income (ERP) KES</t>
        </is>
      </c>
      <c r="F4" s="4" t="inlineStr">
        <is>
          <t>Expenses (ERP) KES</t>
        </is>
      </c>
      <c r="G4" s="4" t="inlineStr">
        <is>
          <t>Net (ERP) KES</t>
        </is>
      </c>
      <c r="H4" s="3" t="inlineStr">
        <is>
          <t>Status</t>
        </is>
      </c>
    </row>
    <row r="5" ht="14" customHeight="1">
      <c r="A5" s="7" t="inlineStr">
        <is>
          <t>Jan 2024</t>
        </is>
      </c>
      <c r="B5" s="8" t="n">
        <v>0</v>
      </c>
      <c r="C5" s="8" t="n">
        <v>532609</v>
      </c>
      <c r="D5" s="81" t="n">
        <v>-532609</v>
      </c>
      <c r="E5" s="55" t="n">
        <v>0</v>
      </c>
      <c r="F5" s="82" t="n">
        <v>2016304.5</v>
      </c>
      <c r="G5" s="83" t="n">
        <v>-2016304.5</v>
      </c>
      <c r="H5" s="10" t="inlineStr">
        <is>
          <t>✓ Match</t>
        </is>
      </c>
    </row>
    <row r="6" ht="14" customHeight="1">
      <c r="A6" s="14" t="inlineStr">
        <is>
          <t>Feb 2024</t>
        </is>
      </c>
      <c r="B6" s="15" t="n">
        <v>0</v>
      </c>
      <c r="C6" s="15" t="n">
        <v>1363145</v>
      </c>
      <c r="D6" s="84" t="n">
        <v>-1363145</v>
      </c>
      <c r="E6" s="22" t="n">
        <v>0</v>
      </c>
      <c r="F6" s="21" t="n">
        <v>931572.5</v>
      </c>
      <c r="G6" s="85" t="n">
        <v>-931572.5</v>
      </c>
      <c r="H6" s="10" t="inlineStr">
        <is>
          <t>✓ Match</t>
        </is>
      </c>
    </row>
    <row r="7" ht="14" customHeight="1">
      <c r="A7" s="7" t="inlineStr">
        <is>
          <t>Mar 2024</t>
        </is>
      </c>
      <c r="B7" s="8" t="n">
        <v>119670</v>
      </c>
      <c r="C7" s="8" t="n">
        <v>194497</v>
      </c>
      <c r="D7" s="81" t="n">
        <v>-74827</v>
      </c>
      <c r="E7" s="55" t="n">
        <v>119670</v>
      </c>
      <c r="F7" s="82" t="n">
        <v>97248.5</v>
      </c>
      <c r="G7" s="86" t="n">
        <v>22421.5</v>
      </c>
      <c r="H7" s="10" t="inlineStr">
        <is>
          <t>✓ Match</t>
        </is>
      </c>
    </row>
    <row r="8" ht="14" customHeight="1">
      <c r="A8" s="14" t="inlineStr">
        <is>
          <t>Apr 2024</t>
        </is>
      </c>
      <c r="B8" s="15" t="n">
        <v>195595</v>
      </c>
      <c r="C8" s="15" t="n">
        <v>207509</v>
      </c>
      <c r="D8" s="84" t="n">
        <v>-11914</v>
      </c>
      <c r="E8" s="22" t="n">
        <v>195595</v>
      </c>
      <c r="F8" s="21" t="n">
        <v>111254.5</v>
      </c>
      <c r="G8" s="87" t="n">
        <v>84340.5</v>
      </c>
      <c r="H8" s="10" t="inlineStr">
        <is>
          <t>✓ Match</t>
        </is>
      </c>
    </row>
    <row r="9" ht="14" customHeight="1">
      <c r="A9" s="7" t="inlineStr">
        <is>
          <t>May 2024</t>
        </is>
      </c>
      <c r="B9" s="8" t="n">
        <v>186585</v>
      </c>
      <c r="C9" s="8" t="n">
        <v>226759</v>
      </c>
      <c r="D9" s="81" t="n">
        <v>-40174</v>
      </c>
      <c r="E9" s="55" t="n">
        <v>186585</v>
      </c>
      <c r="F9" s="82" t="n">
        <v>118379.5</v>
      </c>
      <c r="G9" s="86" t="n">
        <v>68205.5</v>
      </c>
      <c r="H9" s="10" t="inlineStr">
        <is>
          <t>✓ Match</t>
        </is>
      </c>
    </row>
    <row r="10" ht="14" customHeight="1">
      <c r="A10" s="14" t="inlineStr">
        <is>
          <t>Jun 2024</t>
        </is>
      </c>
      <c r="B10" s="15" t="n">
        <v>184270</v>
      </c>
      <c r="C10" s="15" t="n">
        <v>184124</v>
      </c>
      <c r="D10" s="88" t="n">
        <v>146</v>
      </c>
      <c r="E10" s="22" t="n">
        <v>184270</v>
      </c>
      <c r="F10" s="21" t="n">
        <v>98062</v>
      </c>
      <c r="G10" s="87" t="n">
        <v>86208</v>
      </c>
      <c r="H10" s="10" t="inlineStr">
        <is>
          <t>✓ Match</t>
        </is>
      </c>
    </row>
    <row r="11" ht="14" customHeight="1">
      <c r="A11" s="7" t="inlineStr">
        <is>
          <t>Jul 2024</t>
        </is>
      </c>
      <c r="B11" s="8" t="n">
        <v>220600</v>
      </c>
      <c r="C11" s="8" t="n">
        <v>205648</v>
      </c>
      <c r="D11" s="89" t="n">
        <v>14952</v>
      </c>
      <c r="E11" s="55" t="n">
        <v>220600</v>
      </c>
      <c r="F11" s="82" t="n">
        <v>115324</v>
      </c>
      <c r="G11" s="86" t="n">
        <v>105276</v>
      </c>
      <c r="H11" s="10" t="inlineStr">
        <is>
          <t>✓ Match</t>
        </is>
      </c>
    </row>
    <row r="12" ht="14" customHeight="1">
      <c r="A12" s="14" t="inlineStr">
        <is>
          <t>Aug 2024</t>
        </is>
      </c>
      <c r="B12" s="15" t="n">
        <v>235925</v>
      </c>
      <c r="C12" s="15" t="n">
        <v>243962</v>
      </c>
      <c r="D12" s="84" t="n">
        <v>-8037</v>
      </c>
      <c r="E12" s="22" t="n">
        <v>235925</v>
      </c>
      <c r="F12" s="21" t="n">
        <v>132981</v>
      </c>
      <c r="G12" s="87" t="n">
        <v>102944</v>
      </c>
      <c r="H12" s="10" t="inlineStr">
        <is>
          <t>✓ Match</t>
        </is>
      </c>
    </row>
    <row r="13" ht="14" customHeight="1">
      <c r="A13" s="7" t="inlineStr">
        <is>
          <t>Sep 2024</t>
        </is>
      </c>
      <c r="B13" s="8" t="n">
        <v>256135</v>
      </c>
      <c r="C13" s="8" t="n">
        <v>190772</v>
      </c>
      <c r="D13" s="89" t="n">
        <v>65363</v>
      </c>
      <c r="E13" s="55" t="n">
        <v>256135</v>
      </c>
      <c r="F13" s="82" t="n">
        <v>107386</v>
      </c>
      <c r="G13" s="86" t="n">
        <v>148749</v>
      </c>
      <c r="H13" s="10" t="inlineStr">
        <is>
          <t>✓ Match</t>
        </is>
      </c>
    </row>
    <row r="14" ht="14" customHeight="1">
      <c r="A14" s="14" t="inlineStr">
        <is>
          <t>Oct 2024</t>
        </is>
      </c>
      <c r="B14" s="15" t="n">
        <v>323260</v>
      </c>
      <c r="C14" s="15" t="n">
        <v>244281</v>
      </c>
      <c r="D14" s="88" t="n">
        <v>78979</v>
      </c>
      <c r="E14" s="22" t="n">
        <v>323260</v>
      </c>
      <c r="F14" s="21" t="n">
        <v>134640.5</v>
      </c>
      <c r="G14" s="87" t="n">
        <v>188619.5</v>
      </c>
      <c r="H14" s="10" t="inlineStr">
        <is>
          <t>✓ Match</t>
        </is>
      </c>
    </row>
    <row r="15" ht="14" customHeight="1">
      <c r="A15" s="7" t="inlineStr">
        <is>
          <t>Nov 2024</t>
        </is>
      </c>
      <c r="B15" s="8" t="n">
        <v>405745</v>
      </c>
      <c r="C15" s="8" t="n">
        <v>279713</v>
      </c>
      <c r="D15" s="89" t="n">
        <v>126032</v>
      </c>
      <c r="E15" s="55" t="n">
        <v>405745</v>
      </c>
      <c r="F15" s="82" t="n">
        <v>158856.5</v>
      </c>
      <c r="G15" s="86" t="n">
        <v>246888.5</v>
      </c>
      <c r="H15" s="10" t="inlineStr">
        <is>
          <t>✓ Match</t>
        </is>
      </c>
    </row>
    <row r="16" ht="14" customHeight="1">
      <c r="A16" s="14" t="inlineStr">
        <is>
          <t>Dec 2024</t>
        </is>
      </c>
      <c r="B16" s="15" t="n">
        <v>304200</v>
      </c>
      <c r="C16" s="15" t="n">
        <v>265215</v>
      </c>
      <c r="D16" s="88" t="n">
        <v>38985</v>
      </c>
      <c r="E16" s="22" t="n">
        <v>304200</v>
      </c>
      <c r="F16" s="21" t="n">
        <v>151607.5</v>
      </c>
      <c r="G16" s="87" t="n">
        <v>152592.5</v>
      </c>
      <c r="H16" s="10" t="inlineStr">
        <is>
          <t>✓ Match</t>
        </is>
      </c>
    </row>
    <row r="17" ht="14" customHeight="1">
      <c r="A17" s="7" t="inlineStr">
        <is>
          <t>Jan 2025</t>
        </is>
      </c>
      <c r="B17" s="8" t="n">
        <v>119395</v>
      </c>
      <c r="C17" s="8" t="n">
        <v>209258</v>
      </c>
      <c r="D17" s="81" t="n">
        <v>-89863</v>
      </c>
      <c r="E17" s="55" t="n">
        <v>119395</v>
      </c>
      <c r="F17" s="82" t="n">
        <v>114629</v>
      </c>
      <c r="G17" s="86" t="n">
        <v>4766</v>
      </c>
      <c r="H17" s="10" t="inlineStr">
        <is>
          <t>✓ Match</t>
        </is>
      </c>
    </row>
    <row r="18" ht="14" customHeight="1">
      <c r="A18" s="14" t="inlineStr">
        <is>
          <t>Feb 2025</t>
        </is>
      </c>
      <c r="B18" s="15" t="n">
        <v>38460</v>
      </c>
      <c r="C18" s="15" t="n">
        <v>15985</v>
      </c>
      <c r="D18" s="88" t="n">
        <v>22475</v>
      </c>
      <c r="E18" s="22" t="n">
        <v>38460</v>
      </c>
      <c r="F18" s="21" t="n">
        <v>7992.5</v>
      </c>
      <c r="G18" s="87" t="n">
        <v>30467.5</v>
      </c>
      <c r="H18" s="10" t="inlineStr">
        <is>
          <t>✓ Match</t>
        </is>
      </c>
    </row>
    <row r="19" ht="18" customHeight="1">
      <c r="A19" s="56" t="inlineStr">
        <is>
          <t>TOTAL</t>
        </is>
      </c>
      <c r="B19" s="57">
        <f>SUM(B5:B18)</f>
        <v/>
      </c>
      <c r="C19" s="57">
        <f>SUM(C5:C18)</f>
        <v/>
      </c>
      <c r="D19" s="57">
        <f>B19-C19</f>
        <v/>
      </c>
      <c r="E19" s="57">
        <f>SUM(E5:E18)</f>
        <v/>
      </c>
      <c r="F19" s="57">
        <f>SUM(F5:F18)</f>
        <v/>
      </c>
      <c r="G19" s="57">
        <f>E19-F19</f>
        <v/>
      </c>
      <c r="H19" s="10" t="inlineStr">
        <is>
          <t>✓ Match</t>
        </is>
      </c>
    </row>
    <row r="21" ht="15" customHeight="1">
      <c r="A21" s="5" t="inlineStr">
        <is>
          <t xml:space="preserve">  Income Stream Breakdown</t>
        </is>
      </c>
    </row>
    <row r="22" ht="28" customHeight="1">
      <c r="A22" s="3" t="inlineStr">
        <is>
          <t>Income Stream</t>
        </is>
      </c>
      <c r="B22" s="3" t="inlineStr">
        <is>
          <t>Total (CSV) KES</t>
        </is>
      </c>
      <c r="C22" s="3" t="inlineStr">
        <is>
          <t>% of Revenue</t>
        </is>
      </c>
      <c r="D22" s="4" t="inlineStr">
        <is>
          <t>Total (ERP) KES</t>
        </is>
      </c>
      <c r="E22" s="3" t="inlineStr">
        <is>
          <t>Status</t>
        </is>
      </c>
      <c r="F22" s="3" t="inlineStr"/>
      <c r="G22" s="3" t="inlineStr"/>
      <c r="H22" s="3" t="inlineStr"/>
    </row>
    <row r="23" ht="14" customHeight="1">
      <c r="A23" s="7" t="inlineStr">
        <is>
          <t>eTIMS Sales Invoices</t>
        </is>
      </c>
      <c r="B23" s="90" t="n">
        <v>2589840</v>
      </c>
      <c r="C23" s="61" t="n">
        <v>0.5134822193319164</v>
      </c>
      <c r="D23" s="55" t="n">
        <v>2589840</v>
      </c>
      <c r="E23" s="10" t="inlineStr">
        <is>
          <t>✓ Match</t>
        </is>
      </c>
      <c r="F23" s="12" t="n"/>
      <c r="G23" s="12" t="n"/>
      <c r="H23" s="12" t="n"/>
    </row>
    <row r="24" ht="14" customHeight="1">
      <c r="A24" s="14" t="inlineStr">
        <is>
          <t>Room Bookings</t>
        </is>
      </c>
      <c r="B24" s="91" t="n">
        <v>619000</v>
      </c>
      <c r="C24" s="64" t="n">
        <v>0.1227278495067094</v>
      </c>
      <c r="D24" s="22" t="n">
        <v>619000</v>
      </c>
      <c r="E24" s="10" t="inlineStr">
        <is>
          <t>✓ Match</t>
        </is>
      </c>
      <c r="F24" s="18" t="n"/>
      <c r="G24" s="18" t="n"/>
      <c r="H24" s="18" t="n"/>
    </row>
    <row r="25" ht="14" customHeight="1">
      <c r="A25" s="7" t="inlineStr">
        <is>
          <t>Event Venue Hire</t>
        </is>
      </c>
      <c r="B25" s="90" t="n">
        <v>1698000</v>
      </c>
      <c r="C25" s="61" t="n">
        <v>0.336658947435206</v>
      </c>
      <c r="D25" s="55" t="n">
        <v>1698000</v>
      </c>
      <c r="E25" s="10" t="inlineStr">
        <is>
          <t>✓ Match</t>
        </is>
      </c>
      <c r="F25" s="12" t="n"/>
      <c r="G25" s="12" t="n"/>
      <c r="H25" s="12" t="n"/>
    </row>
    <row r="26" ht="14" customHeight="1">
      <c r="A26" s="14" t="inlineStr">
        <is>
          <t>Egg Sales</t>
        </is>
      </c>
      <c r="B26" s="91" t="n">
        <v>136840</v>
      </c>
      <c r="C26" s="64" t="n">
        <v>0.0271309837261682</v>
      </c>
      <c r="D26" s="22" t="n">
        <v>136840</v>
      </c>
      <c r="E26" s="10" t="inlineStr">
        <is>
          <t>✓ Match</t>
        </is>
      </c>
      <c r="F26" s="18" t="n"/>
      <c r="G26" s="18" t="n"/>
      <c r="H26" s="18" t="n"/>
    </row>
  </sheetData>
  <mergeCells count="4">
    <mergeCell ref="A21:H21"/>
    <mergeCell ref="A3:H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2026-03-12T13:54:47Z</dcterms:created>
  <dcterms:modified xsi:type="dcterms:W3CDTF">2026-03-12T13:54:50Z</dcterms:modified>
</cp:coreProperties>
</file>